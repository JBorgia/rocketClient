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ohcincefs02\Env_Services\Project Folders\Environmental\Internal Work\OCU\2016\10-10-2016 ATP VIBE SN0034\Weight Checks\"/>
    </mc:Choice>
  </mc:AlternateContent>
  <bookViews>
    <workbookView xWindow="3648" yWindow="1356" windowWidth="17652" windowHeight="12840" activeTab="1"/>
  </bookViews>
  <sheets>
    <sheet name="Sheet1" sheetId="4" r:id="rId1"/>
    <sheet name="Weight Checkout" sheetId="1" r:id="rId2"/>
    <sheet name="Y-Axis Weight" sheetId="3" r:id="rId3"/>
  </sheets>
  <functionGroups builtInGroupCount="18"/>
  <calcPr calcId="152511"/>
</workbook>
</file>

<file path=xl/calcChain.xml><?xml version="1.0" encoding="utf-8"?>
<calcChain xmlns="http://schemas.openxmlformats.org/spreadsheetml/2006/main">
  <c r="F3" i="1" l="1"/>
  <c r="F4" i="1"/>
  <c r="F5" i="1"/>
  <c r="F6" i="1"/>
  <c r="F7" i="1"/>
  <c r="F8" i="1"/>
  <c r="F9" i="1"/>
  <c r="F10" i="1"/>
  <c r="F11" i="1"/>
  <c r="F12" i="1"/>
  <c r="F2" i="1"/>
  <c r="E13" i="1"/>
  <c r="B2" i="1"/>
  <c r="B5" i="1" l="1"/>
  <c r="B14" i="1" l="1"/>
  <c r="G2" i="1"/>
  <c r="B8" i="1"/>
  <c r="G12" i="1"/>
  <c r="G11" i="1" l="1"/>
  <c r="G6" i="1"/>
  <c r="G8" i="1" l="1"/>
  <c r="G10" i="1"/>
  <c r="G9" i="1"/>
  <c r="G3" i="1"/>
  <c r="G7" i="1"/>
  <c r="G4" i="1"/>
  <c r="G5" i="1"/>
</calcChain>
</file>

<file path=xl/sharedStrings.xml><?xml version="1.0" encoding="utf-8"?>
<sst xmlns="http://schemas.openxmlformats.org/spreadsheetml/2006/main" count="126" uniqueCount="106">
  <si>
    <t>Frequency</t>
  </si>
  <si>
    <t>Overall</t>
  </si>
  <si>
    <t>Duration</t>
  </si>
  <si>
    <t>60 sec/axis</t>
  </si>
  <si>
    <t>Y-Axis New Weight IAT</t>
  </si>
  <si>
    <t>Y-Axis Delta dB</t>
  </si>
  <si>
    <t>UNHOLTZ-DICKIE Corporation Random Controller data in ASCII format</t>
  </si>
  <si>
    <t>Test Mode:none    Test Status:STOPPED</t>
  </si>
  <si>
    <t>Test Level:-20.0dB</t>
  </si>
  <si>
    <t>DOF:200</t>
  </si>
  <si>
    <t>Sigma Drive Limit: NONE</t>
  </si>
  <si>
    <t>Frequency Resolution:5.000 Hz</t>
  </si>
  <si>
    <t>Reference Frequency Range: 20.000 Hz - 2000.000 Hz</t>
  </si>
  <si>
    <t>Chan</t>
  </si>
  <si>
    <t xml:space="preserve">Sensitivity </t>
  </si>
  <si>
    <t>Coupling</t>
  </si>
  <si>
    <t xml:space="preserve"> Max. Range</t>
  </si>
  <si>
    <t>Description</t>
  </si>
  <si>
    <t xml:space="preserve">  # </t>
  </si>
  <si>
    <t xml:space="preserve">    mV/g    </t>
  </si>
  <si>
    <t xml:space="preserve"> (AC/DC)</t>
  </si>
  <si>
    <t xml:space="preserve">   AC   </t>
  </si>
  <si>
    <t>CONTROL</t>
  </si>
  <si>
    <t>INLINE SUMMED FORCE CHANNEL</t>
  </si>
  <si>
    <t xml:space="preserve">  Pt</t>
  </si>
  <si>
    <t xml:space="preserve">  Reference  </t>
  </si>
  <si>
    <t xml:space="preserve">   Control   </t>
  </si>
  <si>
    <t xml:space="preserve">    Drive    </t>
  </si>
  <si>
    <t xml:space="preserve">     HInv    </t>
  </si>
  <si>
    <t xml:space="preserve">    Chan:1   </t>
  </si>
  <si>
    <t xml:space="preserve">    Chan:2   </t>
  </si>
  <si>
    <t xml:space="preserve">    Chan:3   </t>
  </si>
  <si>
    <t xml:space="preserve">    Chan:4   </t>
  </si>
  <si>
    <t xml:space="preserve">    </t>
  </si>
  <si>
    <t xml:space="preserve">  (Hz)   </t>
  </si>
  <si>
    <t xml:space="preserve">    (g²/Hz)  </t>
  </si>
  <si>
    <t xml:space="preserve">    (V²/Hz)  </t>
  </si>
  <si>
    <t xml:space="preserve">     (V/g)   </t>
  </si>
  <si>
    <t>Y-Axis Factor Increase</t>
  </si>
  <si>
    <t>Y-Axis OCU FSD IAT</t>
  </si>
  <si>
    <t>OCU Static Weight</t>
  </si>
  <si>
    <t>Y-Axis Qual Delta dB</t>
  </si>
  <si>
    <t>OCU FSD Y-Axis MPE (Level from Spec) 445 lb-rms, 60 sec/axis</t>
  </si>
  <si>
    <t>DO NOT CHANGE DATA BELOW</t>
  </si>
  <si>
    <t>REVISION HISTORY</t>
  </si>
  <si>
    <t>REV</t>
  </si>
  <si>
    <t>DESCRIPTION</t>
  </si>
  <si>
    <t>DATE</t>
  </si>
  <si>
    <t>APPROVED</t>
  </si>
  <si>
    <t>-</t>
  </si>
  <si>
    <t>RELEASED</t>
  </si>
  <si>
    <t>THE CONTENT OR SOFTWARE IN THIS DOCUMENT IS PROPRIETARY TO L-3 COMMUNICATIONS CINCINNATI ELECTRONICS.  IT MAY NOT BE DISCLOSED, USED, REPRODUCED, MODIFIED, DISTRIBUTED, TRANSMITTED OR REPUBLISHED IN WHOLE OR IN PART IN ANY MANNER WHATSOEVER.  ANY SUCH UNAUTHORIZED USE OF THIS CONTENT OR SOFTWARE MAY VIOLATE COPYRIGHT, TRADEMARK AND OTHER APPLICABLE LAWS AND COULD RESULT IN CRIMINAL OR CIVIL PENALTIES.  L-3 COMMUNICATIONS CINCINNATI ELECTRONICS RETAINS AND ASSERTS TO THE FULLEST EXTENT ALL RIGHTS WITH RESPECT TO THIS CONTENT OR SOFTWARE.</t>
  </si>
  <si>
    <t>THIS TECHNICAL DATA IS CONTROLLED UNDER THE U.S. INTERNATIONAL TRAFFIC IN ARMS REGULATIONS (ITAR) AND MAY NOT BE EXPORTED TO A FOREIGN PERSON, EITHER IN THE U.S. OR ABROAD, WITHOUT THE PROPER AUTHORIZATION BY THE U.S. DEPARTMENT OF STATE.</t>
  </si>
  <si>
    <t xml:space="preserve">UNLESS OTHERWISE </t>
  </si>
  <si>
    <t xml:space="preserve">3RD </t>
  </si>
  <si>
    <t>ALL SHEETS ARE THE SAME REVISION STATUS</t>
  </si>
  <si>
    <t>SPECIFIED:</t>
  </si>
  <si>
    <t>ANGLE</t>
  </si>
  <si>
    <t>DIMENSIONS ARE IN</t>
  </si>
  <si>
    <t>PROJ</t>
  </si>
  <si>
    <t>INCHES: (MM)</t>
  </si>
  <si>
    <t>CONTRACT NO.</t>
  </si>
  <si>
    <t>TOLERANCES:</t>
  </si>
  <si>
    <t xml:space="preserve">     Cincinnati Electronics</t>
  </si>
  <si>
    <t>DECIMALS:</t>
  </si>
  <si>
    <t xml:space="preserve">7500 Innovation Way    </t>
  </si>
  <si>
    <t xml:space="preserve">    .XX±.05 (±0.5)</t>
  </si>
  <si>
    <t xml:space="preserve">Mason, OH 45040    </t>
  </si>
  <si>
    <t xml:space="preserve">    .XXX±.005 (±0.13)</t>
  </si>
  <si>
    <t>DRAWN</t>
  </si>
  <si>
    <t>TITLE</t>
  </si>
  <si>
    <t>APPLICATION</t>
  </si>
  <si>
    <t>FRACTIONS:</t>
  </si>
  <si>
    <t>C. YOUNG</t>
  </si>
  <si>
    <t xml:space="preserve">NEXT ASSY </t>
  </si>
  <si>
    <t>USED ON</t>
  </si>
  <si>
    <t xml:space="preserve">    ±1/64 (±0.4)</t>
  </si>
  <si>
    <t>CHECKED</t>
  </si>
  <si>
    <t xml:space="preserve">    ANGLES: ±30'</t>
  </si>
  <si>
    <t>IAT 4CH</t>
  </si>
  <si>
    <t>INDUSTRY STANDARD</t>
  </si>
  <si>
    <t>TOLERANCES APPLY</t>
  </si>
  <si>
    <t>SIZE</t>
  </si>
  <si>
    <t>CAGE CODE</t>
  </si>
  <si>
    <t>DWG NO.</t>
  </si>
  <si>
    <t>FOR GAUGE, TUBING,</t>
  </si>
  <si>
    <t>QUALITY</t>
  </si>
  <si>
    <t>A</t>
  </si>
  <si>
    <t>AND BAR STOCK.</t>
  </si>
  <si>
    <t>SCALE</t>
  </si>
  <si>
    <t>NONE</t>
  </si>
  <si>
    <t>SHEET</t>
  </si>
  <si>
    <t>1 OF 2</t>
  </si>
  <si>
    <t>Use or disclosure of the information contained herein is subject to restrictions on the Cover Page.</t>
  </si>
  <si>
    <t>OCU Y-AXIS WEIGHT CHECKOUT</t>
  </si>
  <si>
    <t>ENV1F67700-1-Y-4</t>
  </si>
  <si>
    <t>2016-08-10</t>
  </si>
  <si>
    <t>MDF</t>
  </si>
  <si>
    <t>D. McELROY</t>
  </si>
  <si>
    <t>P. POPPLETON</t>
  </si>
  <si>
    <t>C. BARRERA</t>
  </si>
  <si>
    <t>Setup Name:OCU Y AXIS ATP 4CH     Run Name:OCUYATPFORCELIMIT4CH2     Save Number:1</t>
  </si>
  <si>
    <t>Saved Date:10/11/2016    Saved Time:1:53:13 PM</t>
  </si>
  <si>
    <t>Total time:0:2:2    Auto time:0:0:0</t>
  </si>
  <si>
    <t xml:space="preserve">   grms    </t>
  </si>
  <si>
    <t>SPECIMENT PROTECT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</si>
</sst>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1"/>
      <color rgb="FF006100"/>
      <name val="Calibri"/>
      <family val="2"/>
      <scheme val="minor"/>
    </font>
    <font>
      <sz val="11"/>
      <color rgb="FF9C6500"/>
      <name val="Calibri"/>
      <family val="2"/>
      <scheme val="minor"/>
    </font>
    <font>
      <b/>
      <sz val="11"/>
      <color theme="1"/>
      <name val="Calibri"/>
      <family val="2"/>
      <scheme val="minor"/>
    </font>
    <font>
      <b/>
      <sz val="14"/>
      <color theme="0"/>
      <name val="Calibri"/>
      <family val="2"/>
      <scheme val="minor"/>
    </font>
    <font>
      <sz val="10"/>
      <name val="Arial"/>
    </font>
    <font>
      <sz val="10"/>
      <name val="Arial"/>
      <family val="2"/>
    </font>
    <font>
      <b/>
      <sz val="10"/>
      <name val="Arial"/>
      <family val="2"/>
    </font>
    <font>
      <sz val="9"/>
      <name val="Arial"/>
      <family val="2"/>
    </font>
  </fonts>
  <fills count="5">
    <fill>
      <patternFill patternType="none"/>
    </fill>
    <fill>
      <patternFill patternType="gray125"/>
    </fill>
    <fill>
      <patternFill patternType="solid">
        <fgColor rgb="FFC6EFCE"/>
      </patternFill>
    </fill>
    <fill>
      <patternFill patternType="solid">
        <fgColor rgb="FFFFEB9C"/>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1" fillId="2" borderId="0" applyNumberFormat="0" applyBorder="0" applyAlignment="0" applyProtection="0"/>
    <xf numFmtId="0" fontId="2" fillId="3" borderId="0" applyNumberFormat="0" applyBorder="0" applyAlignment="0" applyProtection="0"/>
    <xf numFmtId="0" fontId="5" fillId="0" borderId="0"/>
  </cellStyleXfs>
  <cellXfs count="85">
    <xf numFmtId="0" fontId="0" fillId="0" borderId="0" xfId="0"/>
    <xf numFmtId="0" fontId="0" fillId="0" borderId="0" xfId="0" applyAlignment="1">
      <alignment wrapText="1"/>
    </xf>
    <xf numFmtId="0" fontId="0" fillId="0" borderId="1" xfId="0" applyBorder="1" applyAlignment="1">
      <alignment horizontal="center" wrapText="1"/>
    </xf>
    <xf numFmtId="0" fontId="0" fillId="0" borderId="1" xfId="0" applyBorder="1" applyAlignment="1">
      <alignment horizontal="center"/>
    </xf>
    <xf numFmtId="1" fontId="0" fillId="0" borderId="1" xfId="0" applyNumberFormat="1" applyBorder="1" applyAlignment="1">
      <alignment horizontal="center"/>
    </xf>
    <xf numFmtId="0" fontId="1" fillId="2" borderId="1" xfId="1" applyBorder="1" applyAlignment="1">
      <alignment horizontal="center" wrapText="1"/>
    </xf>
    <xf numFmtId="0" fontId="1" fillId="2" borderId="1" xfId="1" applyBorder="1" applyAlignment="1">
      <alignment horizontal="center"/>
    </xf>
    <xf numFmtId="0" fontId="3" fillId="0" borderId="0" xfId="0" applyFont="1" applyFill="1" applyBorder="1" applyAlignment="1">
      <alignment wrapText="1"/>
    </xf>
    <xf numFmtId="0" fontId="2" fillId="0" borderId="0" xfId="2" applyFill="1" applyBorder="1"/>
    <xf numFmtId="0" fontId="0" fillId="0" borderId="0" xfId="0" applyFill="1" applyBorder="1"/>
    <xf numFmtId="1" fontId="1" fillId="2" borderId="1" xfId="1" applyNumberFormat="1" applyBorder="1" applyAlignment="1">
      <alignment horizontal="center"/>
    </xf>
    <xf numFmtId="0" fontId="3" fillId="0" borderId="0" xfId="0" applyFont="1" applyAlignment="1">
      <alignment horizontal="center" vertical="center" wrapText="1"/>
    </xf>
    <xf numFmtId="0" fontId="4" fillId="0" borderId="0" xfId="0" applyFont="1" applyAlignment="1">
      <alignment horizontal="center"/>
    </xf>
    <xf numFmtId="0" fontId="0" fillId="0" borderId="0" xfId="0" applyAlignment="1">
      <alignment horizontal="center"/>
    </xf>
    <xf numFmtId="2" fontId="0" fillId="0" borderId="0" xfId="0" applyNumberFormat="1" applyAlignment="1">
      <alignment horizontal="center"/>
    </xf>
    <xf numFmtId="0" fontId="4" fillId="4" borderId="3" xfId="0" applyFont="1" applyFill="1" applyBorder="1" applyAlignment="1">
      <alignment horizontal="center"/>
    </xf>
    <xf numFmtId="2" fontId="4" fillId="4" borderId="4" xfId="0" applyNumberFormat="1" applyFont="1" applyFill="1" applyBorder="1" applyAlignment="1">
      <alignment horizontal="center"/>
    </xf>
    <xf numFmtId="0" fontId="4" fillId="4" borderId="3" xfId="0" applyFont="1" applyFill="1" applyBorder="1" applyAlignment="1">
      <alignment horizontal="center" wrapText="1"/>
    </xf>
    <xf numFmtId="0" fontId="3" fillId="0" borderId="2" xfId="0" applyFont="1" applyBorder="1" applyAlignment="1">
      <alignment horizontal="center"/>
    </xf>
    <xf numFmtId="0" fontId="0" fillId="4" borderId="3" xfId="0" applyFill="1" applyBorder="1" applyAlignment="1">
      <alignment horizontal="center"/>
    </xf>
    <xf numFmtId="2" fontId="0" fillId="4" borderId="4" xfId="0" applyNumberFormat="1" applyFill="1" applyBorder="1" applyAlignment="1">
      <alignment horizontal="center"/>
    </xf>
    <xf numFmtId="0" fontId="5" fillId="0" borderId="5" xfId="3" applyBorder="1"/>
    <xf numFmtId="0" fontId="5" fillId="0" borderId="6" xfId="3" applyBorder="1"/>
    <xf numFmtId="0" fontId="5" fillId="0" borderId="0" xfId="3"/>
    <xf numFmtId="0" fontId="5" fillId="0" borderId="10" xfId="3" applyBorder="1"/>
    <xf numFmtId="0" fontId="5" fillId="0" borderId="0" xfId="3" applyBorder="1"/>
    <xf numFmtId="0" fontId="5" fillId="0" borderId="11" xfId="3" applyBorder="1" applyAlignment="1">
      <alignment horizontal="center"/>
    </xf>
    <xf numFmtId="14" fontId="5" fillId="0" borderId="15" xfId="3" applyNumberFormat="1" applyBorder="1" applyAlignment="1">
      <alignment horizontal="center"/>
    </xf>
    <xf numFmtId="0" fontId="5" fillId="0" borderId="1" xfId="3" quotePrefix="1" applyBorder="1" applyAlignment="1">
      <alignment horizontal="center"/>
    </xf>
    <xf numFmtId="49" fontId="5" fillId="0" borderId="7" xfId="3" applyNumberFormat="1" applyBorder="1" applyAlignment="1">
      <alignment horizontal="center"/>
    </xf>
    <xf numFmtId="0" fontId="5" fillId="0" borderId="17" xfId="3" applyBorder="1"/>
    <xf numFmtId="0" fontId="5" fillId="0" borderId="0" xfId="3" applyBorder="1" applyAlignment="1">
      <alignment horizontal="center"/>
    </xf>
    <xf numFmtId="0" fontId="5" fillId="0" borderId="13" xfId="3" applyBorder="1"/>
    <xf numFmtId="0" fontId="5" fillId="0" borderId="14" xfId="3" applyBorder="1"/>
    <xf numFmtId="0" fontId="5" fillId="0" borderId="18" xfId="3" applyBorder="1"/>
    <xf numFmtId="0" fontId="5" fillId="0" borderId="11" xfId="3" applyBorder="1"/>
    <xf numFmtId="0" fontId="5" fillId="0" borderId="12" xfId="3" applyBorder="1"/>
    <xf numFmtId="0" fontId="5" fillId="0" borderId="10" xfId="3" applyFill="1" applyBorder="1"/>
    <xf numFmtId="0" fontId="5" fillId="0" borderId="16" xfId="3" applyBorder="1"/>
    <xf numFmtId="0" fontId="7" fillId="0" borderId="0" xfId="3" applyFont="1" applyBorder="1" applyAlignment="1">
      <alignment vertical="center"/>
    </xf>
    <xf numFmtId="0" fontId="6" fillId="0" borderId="0" xfId="3" applyFont="1" applyBorder="1" applyAlignment="1">
      <alignment horizontal="right"/>
    </xf>
    <xf numFmtId="0" fontId="6" fillId="0" borderId="17" xfId="3" applyFont="1" applyBorder="1" applyAlignment="1">
      <alignment horizontal="right"/>
    </xf>
    <xf numFmtId="0" fontId="5" fillId="0" borderId="13" xfId="3" applyBorder="1" applyAlignment="1">
      <alignment horizontal="right"/>
    </xf>
    <xf numFmtId="0" fontId="6" fillId="0" borderId="14" xfId="3" applyFont="1" applyBorder="1" applyAlignment="1">
      <alignment horizontal="right"/>
    </xf>
    <xf numFmtId="0" fontId="5" fillId="0" borderId="11" xfId="3" applyFill="1" applyBorder="1"/>
    <xf numFmtId="0" fontId="5" fillId="0" borderId="15" xfId="3" applyBorder="1"/>
    <xf numFmtId="0" fontId="5" fillId="0" borderId="1" xfId="3" applyBorder="1" applyAlignment="1">
      <alignment horizontal="center"/>
    </xf>
    <xf numFmtId="0" fontId="5" fillId="0" borderId="7" xfId="3" applyBorder="1" applyAlignment="1">
      <alignment horizontal="center"/>
    </xf>
    <xf numFmtId="17" fontId="5" fillId="0" borderId="11" xfId="3" applyNumberFormat="1" applyBorder="1"/>
    <xf numFmtId="0" fontId="5" fillId="0" borderId="18" xfId="3" applyBorder="1" applyAlignment="1">
      <alignment horizontal="center"/>
    </xf>
    <xf numFmtId="0" fontId="5" fillId="0" borderId="5" xfId="3" applyBorder="1" applyAlignment="1">
      <alignment horizontal="center"/>
    </xf>
    <xf numFmtId="0" fontId="7" fillId="0" borderId="15" xfId="3" applyFont="1" applyBorder="1" applyAlignment="1">
      <alignment horizontal="center"/>
    </xf>
    <xf numFmtId="0" fontId="7" fillId="0" borderId="12" xfId="3" applyFont="1" applyBorder="1" applyAlignment="1">
      <alignment horizontal="center"/>
    </xf>
    <xf numFmtId="0" fontId="7" fillId="0" borderId="11" xfId="3" quotePrefix="1" applyFont="1" applyBorder="1" applyAlignment="1">
      <alignment horizontal="center"/>
    </xf>
    <xf numFmtId="0" fontId="7" fillId="0" borderId="9" xfId="3" applyFont="1" applyBorder="1" applyAlignment="1">
      <alignment horizontal="center"/>
    </xf>
    <xf numFmtId="0" fontId="8" fillId="0" borderId="6" xfId="3" applyFont="1" applyBorder="1" applyAlignment="1">
      <alignment horizontal="center"/>
    </xf>
    <xf numFmtId="0" fontId="7" fillId="0" borderId="10" xfId="3" applyFont="1" applyBorder="1" applyAlignment="1">
      <alignment horizontal="center"/>
    </xf>
    <xf numFmtId="0" fontId="7" fillId="0" borderId="0" xfId="3" applyFont="1" applyBorder="1" applyAlignment="1">
      <alignment horizontal="center"/>
    </xf>
    <xf numFmtId="0" fontId="7" fillId="0" borderId="17" xfId="3" applyFont="1" applyBorder="1" applyAlignment="1">
      <alignment horizontal="center"/>
    </xf>
    <xf numFmtId="0" fontId="5" fillId="0" borderId="5" xfId="3" applyBorder="1" applyAlignment="1">
      <alignment horizontal="left"/>
    </xf>
    <xf numFmtId="0" fontId="5" fillId="0" borderId="16" xfId="3" applyBorder="1" applyAlignment="1">
      <alignment horizontal="left"/>
    </xf>
    <xf numFmtId="14" fontId="5" fillId="0" borderId="12" xfId="3" applyNumberFormat="1" applyBorder="1" applyAlignment="1">
      <alignment horizontal="left"/>
    </xf>
    <xf numFmtId="0" fontId="5" fillId="0" borderId="14" xfId="3" applyBorder="1" applyAlignment="1">
      <alignment horizontal="left"/>
    </xf>
    <xf numFmtId="0" fontId="7" fillId="0" borderId="12" xfId="3" applyFont="1" applyBorder="1" applyAlignment="1">
      <alignment horizontal="center"/>
    </xf>
    <xf numFmtId="0" fontId="7" fillId="0" borderId="13" xfId="3" applyFont="1" applyBorder="1" applyAlignment="1">
      <alignment horizontal="center"/>
    </xf>
    <xf numFmtId="0" fontId="7" fillId="0" borderId="14" xfId="3" applyFont="1" applyBorder="1" applyAlignment="1">
      <alignment horizontal="center"/>
    </xf>
    <xf numFmtId="0" fontId="5" fillId="0" borderId="1" xfId="3" applyBorder="1" applyAlignment="1">
      <alignment horizontal="center"/>
    </xf>
    <xf numFmtId="0" fontId="5" fillId="0" borderId="7" xfId="3" applyBorder="1" applyAlignment="1">
      <alignment horizontal="center"/>
    </xf>
    <xf numFmtId="14" fontId="5" fillId="0" borderId="14" xfId="3" applyNumberFormat="1" applyBorder="1" applyAlignment="1">
      <alignment horizontal="left"/>
    </xf>
    <xf numFmtId="0" fontId="5" fillId="0" borderId="8" xfId="3" applyBorder="1" applyAlignment="1">
      <alignment horizontal="center"/>
    </xf>
    <xf numFmtId="0" fontId="5" fillId="0" borderId="9" xfId="3" applyBorder="1" applyAlignment="1">
      <alignment horizontal="center"/>
    </xf>
    <xf numFmtId="0" fontId="5" fillId="0" borderId="6" xfId="3" applyBorder="1" applyAlignment="1">
      <alignment horizontal="left"/>
    </xf>
    <xf numFmtId="0" fontId="5" fillId="0" borderId="10" xfId="3" applyBorder="1" applyAlignment="1">
      <alignment horizontal="center"/>
    </xf>
    <xf numFmtId="0" fontId="5" fillId="0" borderId="0" xfId="3" applyBorder="1" applyAlignment="1">
      <alignment horizontal="center"/>
    </xf>
    <xf numFmtId="0" fontId="5" fillId="0" borderId="17" xfId="3" applyBorder="1" applyAlignment="1">
      <alignment horizontal="center"/>
    </xf>
    <xf numFmtId="0" fontId="5" fillId="0" borderId="12" xfId="3" applyBorder="1" applyAlignment="1">
      <alignment horizontal="center"/>
    </xf>
    <xf numFmtId="0" fontId="5" fillId="0" borderId="13" xfId="3" applyBorder="1" applyAlignment="1">
      <alignment horizontal="center"/>
    </xf>
    <xf numFmtId="0" fontId="5" fillId="0" borderId="14" xfId="3" applyBorder="1" applyAlignment="1">
      <alignment horizontal="center"/>
    </xf>
    <xf numFmtId="0" fontId="5" fillId="0" borderId="10" xfId="3" applyBorder="1" applyAlignment="1">
      <alignment horizontal="left"/>
    </xf>
    <xf numFmtId="0" fontId="5" fillId="0" borderId="17" xfId="3" applyBorder="1" applyAlignment="1">
      <alignment horizontal="left"/>
    </xf>
    <xf numFmtId="0" fontId="6" fillId="0" borderId="0" xfId="3" applyFont="1" applyAlignment="1">
      <alignment horizontal="left" wrapText="1"/>
    </xf>
    <xf numFmtId="0" fontId="5" fillId="0" borderId="5" xfId="3" applyBorder="1" applyAlignment="1">
      <alignment horizontal="center"/>
    </xf>
    <xf numFmtId="0" fontId="5" fillId="0" borderId="6" xfId="3" applyBorder="1" applyAlignment="1">
      <alignment horizontal="center"/>
    </xf>
    <xf numFmtId="0" fontId="5" fillId="0" borderId="16" xfId="3" applyBorder="1" applyAlignment="1">
      <alignment horizontal="center"/>
    </xf>
    <xf numFmtId="0" fontId="5" fillId="0" borderId="12" xfId="3" applyBorder="1" applyAlignment="1">
      <alignment horizontal="left"/>
    </xf>
  </cellXfs>
  <cellStyles count="4">
    <cellStyle name="Good" xfId="1" builtinId="26"/>
    <cellStyle name="Neutral" xfId="2" builtinId="28"/>
    <cellStyle name="Normal" xfId="0" builtinId="0"/>
    <cellStyle name="Normal 2" xfId="3"/>
  </cellStyles>
  <dxfs count="6">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9525</xdr:colOff>
      <xdr:row>59</xdr:row>
      <xdr:rowOff>19050</xdr:rowOff>
    </xdr:from>
    <xdr:to>
      <xdr:col>3</xdr:col>
      <xdr:colOff>942975</xdr:colOff>
      <xdr:row>61</xdr:row>
      <xdr:rowOff>123825</xdr:rowOff>
    </xdr:to>
    <xdr:pic>
      <xdr:nvPicPr>
        <xdr:cNvPr id="2" name="Picture 2" descr="PROJ"/>
        <xdr:cNvPicPr>
          <a:picLocks noChangeAspect="1" noChangeArrowheads="1"/>
        </xdr:cNvPicPr>
      </xdr:nvPicPr>
      <xdr:blipFill>
        <a:blip xmlns:r="http://schemas.openxmlformats.org/officeDocument/2006/relationships" r:embed="rId1" cstate="print"/>
        <a:srcRect/>
        <a:stretch>
          <a:fillRect/>
        </a:stretch>
      </xdr:blipFill>
      <xdr:spPr bwMode="auto">
        <a:xfrm>
          <a:off x="3057525" y="9572625"/>
          <a:ext cx="933450" cy="428625"/>
        </a:xfrm>
        <a:prstGeom prst="rect">
          <a:avLst/>
        </a:prstGeom>
        <a:noFill/>
      </xdr:spPr>
    </xdr:pic>
    <xdr:clientData/>
  </xdr:twoCellAnchor>
  <xdr:twoCellAnchor>
    <xdr:from>
      <xdr:col>6</xdr:col>
      <xdr:colOff>108856</xdr:colOff>
      <xdr:row>62</xdr:row>
      <xdr:rowOff>40823</xdr:rowOff>
    </xdr:from>
    <xdr:to>
      <xdr:col>7</xdr:col>
      <xdr:colOff>205466</xdr:colOff>
      <xdr:row>65</xdr:row>
      <xdr:rowOff>122466</xdr:rowOff>
    </xdr:to>
    <xdr:pic>
      <xdr:nvPicPr>
        <xdr:cNvPr id="3" name="Picture 1" descr="L3CE_Logo_1"/>
        <xdr:cNvPicPr>
          <a:picLocks noChangeAspect="1" noChangeArrowheads="1"/>
        </xdr:cNvPicPr>
      </xdr:nvPicPr>
      <xdr:blipFill>
        <a:blip xmlns:r="http://schemas.openxmlformats.org/officeDocument/2006/relationships" r:embed="rId2" cstate="print"/>
        <a:srcRect l="19420" t="35381" r="62233" b="35135"/>
        <a:stretch>
          <a:fillRect/>
        </a:stretch>
      </xdr:blipFill>
      <xdr:spPr bwMode="auto">
        <a:xfrm>
          <a:off x="5061856" y="10080173"/>
          <a:ext cx="601435" cy="567418"/>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3174</xdr:colOff>
      <xdr:row>18</xdr:row>
      <xdr:rowOff>10583</xdr:rowOff>
    </xdr:from>
    <xdr:to>
      <xdr:col>5</xdr:col>
      <xdr:colOff>1080557</xdr:colOff>
      <xdr:row>26</xdr:row>
      <xdr:rowOff>0</xdr:rowOff>
    </xdr:to>
    <xdr:sp macro="" textlink="">
      <xdr:nvSpPr>
        <xdr:cNvPr id="3" name="TextBox 2"/>
        <xdr:cNvSpPr txBox="1"/>
      </xdr:nvSpPr>
      <xdr:spPr>
        <a:xfrm>
          <a:off x="923924" y="4318000"/>
          <a:ext cx="5702300" cy="15134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Weight</a:t>
          </a:r>
          <a:r>
            <a:rPr lang="en-US" sz="1100" baseline="0"/>
            <a:t> Checkout Method:</a:t>
          </a:r>
        </a:p>
        <a:p>
          <a:endParaRPr lang="en-US" sz="1100" baseline="0"/>
        </a:p>
        <a:p>
          <a:r>
            <a:rPr lang="en-US" sz="1100" baseline="0"/>
            <a:t>1. Verify FSD MPE Axis Levels are correct. Should be IAT levels listed in ATP.</a:t>
          </a:r>
        </a:p>
        <a:p>
          <a:r>
            <a:rPr lang="en-US" sz="1100" baseline="0"/>
            <a:t>2. </a:t>
          </a:r>
          <a:r>
            <a:rPr lang="en-US" sz="1100" baseline="0">
              <a:solidFill>
                <a:schemeClr val="dk1"/>
              </a:solidFill>
              <a:latin typeface="+mn-lt"/>
              <a:ea typeface="+mn-ea"/>
              <a:cs typeface="+mn-cs"/>
            </a:rPr>
            <a:t>Paste Unholtz Dickie Controller Data into appropriate axis tab</a:t>
          </a:r>
          <a:endParaRPr lang="en-US" sz="1100" baseline="0"/>
        </a:p>
        <a:p>
          <a:r>
            <a:rPr lang="en-US" sz="1100" baseline="0"/>
            <a:t>3. New FSD environments will automatically be generated in the green boxes. Delta dB and scaling factor for each axis are noted in boxes above. If boxes are </a:t>
          </a:r>
          <a:r>
            <a:rPr lang="en-US" sz="1100" b="1" baseline="0">
              <a:solidFill>
                <a:srgbClr val="00B050"/>
              </a:solidFill>
            </a:rPr>
            <a:t>GREEN, </a:t>
          </a:r>
          <a:r>
            <a:rPr lang="en-US" sz="1100" b="0" baseline="0">
              <a:solidFill>
                <a:sysClr val="windowText" lastClr="000000"/>
              </a:solidFill>
            </a:rPr>
            <a:t>weight checkout </a:t>
          </a:r>
          <a:r>
            <a:rPr lang="en-US" sz="1100" b="1" baseline="0">
              <a:solidFill>
                <a:sysClr val="windowText" lastClr="000000"/>
              </a:solidFill>
            </a:rPr>
            <a:t>does not require </a:t>
          </a:r>
          <a:r>
            <a:rPr lang="en-US" sz="1100" b="0" baseline="0">
              <a:solidFill>
                <a:sysClr val="windowText" lastClr="000000"/>
              </a:solidFill>
            </a:rPr>
            <a:t>ULA</a:t>
          </a:r>
          <a:r>
            <a:rPr lang="en-US" sz="1100" b="1" baseline="0">
              <a:solidFill>
                <a:sysClr val="windowText" lastClr="000000"/>
              </a:solidFill>
            </a:rPr>
            <a:t> </a:t>
          </a:r>
          <a:r>
            <a:rPr lang="en-US" sz="1100" b="0" baseline="0">
              <a:solidFill>
                <a:sysClr val="windowText" lastClr="000000"/>
              </a:solidFill>
            </a:rPr>
            <a:t>Dyn Environments approval. If boxes are </a:t>
          </a:r>
          <a:r>
            <a:rPr lang="en-US" sz="1100" b="1" baseline="0">
              <a:solidFill>
                <a:srgbClr val="FF0000"/>
              </a:solidFill>
            </a:rPr>
            <a:t>RED</a:t>
          </a:r>
          <a:r>
            <a:rPr lang="en-US" sz="1100" b="0" baseline="0">
              <a:solidFill>
                <a:sysClr val="windowText" lastClr="000000"/>
              </a:solidFill>
            </a:rPr>
            <a:t>,</a:t>
          </a:r>
          <a:r>
            <a:rPr lang="en-US" sz="1100" b="1" baseline="0">
              <a:solidFill>
                <a:srgbClr val="00B050"/>
              </a:solidFill>
            </a:rPr>
            <a:t> </a:t>
          </a:r>
          <a:r>
            <a:rPr lang="en-US" sz="1100" b="0" baseline="0">
              <a:solidFill>
                <a:schemeClr val="tx1"/>
              </a:solidFill>
            </a:rPr>
            <a:t>ULA Dynamic Environments </a:t>
          </a:r>
          <a:r>
            <a:rPr lang="en-US" sz="1100" b="1" baseline="0">
              <a:solidFill>
                <a:schemeClr val="tx1"/>
              </a:solidFill>
            </a:rPr>
            <a:t>must be notified </a:t>
          </a:r>
          <a:r>
            <a:rPr lang="en-US" sz="1100" b="0" baseline="0">
              <a:solidFill>
                <a:schemeClr val="tx1"/>
              </a:solidFill>
            </a:rPr>
            <a:t>before random vibe test for the axis.</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75"/>
  <sheetViews>
    <sheetView zoomScale="70" zoomScaleNormal="70" workbookViewId="0">
      <selection activeCell="B4" sqref="B4"/>
    </sheetView>
  </sheetViews>
  <sheetFormatPr defaultColWidth="9.109375" defaultRowHeight="13.2" x14ac:dyDescent="0.25"/>
  <cols>
    <col min="1" max="2" width="12.109375" style="23" customWidth="1"/>
    <col min="3" max="3" width="21.44140625" style="23" bestFit="1" customWidth="1"/>
    <col min="4" max="4" width="17.88671875" style="23" customWidth="1"/>
    <col min="5" max="5" width="5.6640625" style="23" customWidth="1"/>
    <col min="6" max="6" width="5" style="23" customWidth="1"/>
    <col min="7" max="7" width="7.5546875" style="23" bestFit="1" customWidth="1"/>
    <col min="8" max="8" width="12.6640625" style="23" bestFit="1" customWidth="1"/>
    <col min="9" max="9" width="9.44140625" style="23" bestFit="1" customWidth="1"/>
    <col min="10" max="10" width="12.109375" style="23" customWidth="1"/>
    <col min="11" max="11" width="5.6640625" style="23" customWidth="1"/>
    <col min="12" max="12" width="6.44140625" style="23" customWidth="1"/>
    <col min="13" max="16384" width="9.109375" style="23"/>
  </cols>
  <sheetData>
    <row r="1" spans="1:12" x14ac:dyDescent="0.25">
      <c r="A1" s="21"/>
      <c r="B1" s="22"/>
      <c r="C1" s="22"/>
      <c r="D1" s="22"/>
      <c r="E1" s="67" t="s">
        <v>44</v>
      </c>
      <c r="F1" s="69"/>
      <c r="G1" s="69"/>
      <c r="H1" s="69"/>
      <c r="I1" s="69"/>
      <c r="J1" s="69"/>
      <c r="K1" s="69"/>
      <c r="L1" s="70"/>
    </row>
    <row r="2" spans="1:12" x14ac:dyDescent="0.25">
      <c r="A2" s="24"/>
      <c r="B2" s="25"/>
      <c r="C2" s="25"/>
      <c r="D2" s="25"/>
      <c r="E2" s="26" t="s">
        <v>45</v>
      </c>
      <c r="F2" s="75" t="s">
        <v>46</v>
      </c>
      <c r="G2" s="76"/>
      <c r="H2" s="76"/>
      <c r="I2" s="77"/>
      <c r="J2" s="27" t="s">
        <v>47</v>
      </c>
      <c r="K2" s="67" t="s">
        <v>48</v>
      </c>
      <c r="L2" s="70"/>
    </row>
    <row r="3" spans="1:12" x14ac:dyDescent="0.25">
      <c r="A3" s="24"/>
      <c r="B3" s="25"/>
      <c r="C3" s="25"/>
      <c r="D3" s="25"/>
      <c r="E3" s="28" t="s">
        <v>49</v>
      </c>
      <c r="F3" s="69" t="s">
        <v>50</v>
      </c>
      <c r="G3" s="69"/>
      <c r="H3" s="69"/>
      <c r="I3" s="70"/>
      <c r="J3" s="29" t="s">
        <v>96</v>
      </c>
      <c r="K3" s="67" t="s">
        <v>97</v>
      </c>
      <c r="L3" s="70"/>
    </row>
    <row r="4" spans="1:12" x14ac:dyDescent="0.25">
      <c r="A4" s="24"/>
      <c r="B4" s="25"/>
      <c r="C4" s="25"/>
      <c r="D4" s="25"/>
      <c r="E4" s="25"/>
      <c r="F4" s="82"/>
      <c r="G4" s="82"/>
      <c r="H4" s="82"/>
      <c r="I4" s="82"/>
      <c r="J4" s="25"/>
      <c r="K4" s="82"/>
      <c r="L4" s="83"/>
    </row>
    <row r="5" spans="1:12" x14ac:dyDescent="0.25">
      <c r="A5" s="24"/>
      <c r="B5" s="25"/>
      <c r="C5" s="25"/>
      <c r="D5" s="25"/>
      <c r="E5" s="25"/>
      <c r="F5" s="73"/>
      <c r="G5" s="73"/>
      <c r="H5" s="73"/>
      <c r="I5" s="73"/>
      <c r="J5" s="25"/>
      <c r="K5" s="73"/>
      <c r="L5" s="74"/>
    </row>
    <row r="6" spans="1:12" x14ac:dyDescent="0.25">
      <c r="A6" s="24"/>
      <c r="B6" s="25"/>
      <c r="C6" s="25"/>
      <c r="D6" s="25"/>
      <c r="E6" s="25"/>
      <c r="F6" s="73"/>
      <c r="G6" s="73"/>
      <c r="H6" s="73"/>
      <c r="I6" s="73"/>
      <c r="J6" s="25"/>
      <c r="K6" s="73"/>
      <c r="L6" s="74"/>
    </row>
    <row r="7" spans="1:12" x14ac:dyDescent="0.25">
      <c r="A7" s="24"/>
      <c r="B7" s="25"/>
      <c r="C7" s="25"/>
      <c r="D7" s="25"/>
      <c r="E7" s="25"/>
      <c r="F7" s="73"/>
      <c r="G7" s="73"/>
      <c r="H7" s="73"/>
      <c r="I7" s="73"/>
      <c r="J7" s="25"/>
      <c r="K7" s="73"/>
      <c r="L7" s="74"/>
    </row>
    <row r="8" spans="1:12" x14ac:dyDescent="0.25">
      <c r="A8" s="24"/>
      <c r="B8" s="25"/>
      <c r="C8" s="25"/>
      <c r="D8" s="25"/>
      <c r="E8" s="25"/>
      <c r="F8" s="73"/>
      <c r="G8" s="73"/>
      <c r="H8" s="73"/>
      <c r="I8" s="73"/>
      <c r="J8" s="25"/>
      <c r="K8" s="73"/>
      <c r="L8" s="74"/>
    </row>
    <row r="9" spans="1:12" x14ac:dyDescent="0.25">
      <c r="A9" s="24"/>
      <c r="B9" s="80" t="s">
        <v>51</v>
      </c>
      <c r="C9" s="80"/>
      <c r="D9" s="80"/>
      <c r="E9" s="80"/>
      <c r="F9" s="80"/>
      <c r="G9" s="80"/>
      <c r="H9" s="80"/>
      <c r="I9" s="80"/>
      <c r="J9" s="80"/>
      <c r="K9" s="80"/>
      <c r="L9" s="30"/>
    </row>
    <row r="10" spans="1:12" x14ac:dyDescent="0.25">
      <c r="A10" s="24"/>
      <c r="B10" s="80"/>
      <c r="C10" s="80"/>
      <c r="D10" s="80"/>
      <c r="E10" s="80"/>
      <c r="F10" s="80"/>
      <c r="G10" s="80"/>
      <c r="H10" s="80"/>
      <c r="I10" s="80"/>
      <c r="J10" s="80"/>
      <c r="K10" s="80"/>
      <c r="L10" s="30"/>
    </row>
    <row r="11" spans="1:12" x14ac:dyDescent="0.25">
      <c r="A11" s="24"/>
      <c r="B11" s="80"/>
      <c r="C11" s="80"/>
      <c r="D11" s="80"/>
      <c r="E11" s="80"/>
      <c r="F11" s="80"/>
      <c r="G11" s="80"/>
      <c r="H11" s="80"/>
      <c r="I11" s="80"/>
      <c r="J11" s="80"/>
      <c r="K11" s="80"/>
      <c r="L11" s="30"/>
    </row>
    <row r="12" spans="1:12" x14ac:dyDescent="0.25">
      <c r="A12" s="24"/>
      <c r="B12" s="80"/>
      <c r="C12" s="80"/>
      <c r="D12" s="80"/>
      <c r="E12" s="80"/>
      <c r="F12" s="80"/>
      <c r="G12" s="80"/>
      <c r="H12" s="80"/>
      <c r="I12" s="80"/>
      <c r="J12" s="80"/>
      <c r="K12" s="80"/>
      <c r="L12" s="30"/>
    </row>
    <row r="13" spans="1:12" x14ac:dyDescent="0.25">
      <c r="A13" s="24"/>
      <c r="B13" s="80"/>
      <c r="C13" s="80"/>
      <c r="D13" s="80"/>
      <c r="E13" s="80"/>
      <c r="F13" s="80"/>
      <c r="G13" s="80"/>
      <c r="H13" s="80"/>
      <c r="I13" s="80"/>
      <c r="J13" s="80"/>
      <c r="K13" s="80"/>
      <c r="L13" s="30"/>
    </row>
    <row r="14" spans="1:12" x14ac:dyDescent="0.25">
      <c r="A14" s="24"/>
      <c r="B14" s="80"/>
      <c r="C14" s="80"/>
      <c r="D14" s="80"/>
      <c r="E14" s="80"/>
      <c r="F14" s="80"/>
      <c r="G14" s="80"/>
      <c r="H14" s="80"/>
      <c r="I14" s="80"/>
      <c r="J14" s="80"/>
      <c r="K14" s="80"/>
      <c r="L14" s="30"/>
    </row>
    <row r="15" spans="1:12" x14ac:dyDescent="0.25">
      <c r="A15" s="24"/>
      <c r="B15" s="80"/>
      <c r="C15" s="80"/>
      <c r="D15" s="80"/>
      <c r="E15" s="80"/>
      <c r="F15" s="80"/>
      <c r="G15" s="80"/>
      <c r="H15" s="80"/>
      <c r="I15" s="80"/>
      <c r="J15" s="80"/>
      <c r="K15" s="80"/>
      <c r="L15" s="30"/>
    </row>
    <row r="16" spans="1:12" x14ac:dyDescent="0.25">
      <c r="A16" s="24"/>
      <c r="B16" s="80"/>
      <c r="C16" s="80"/>
      <c r="D16" s="80"/>
      <c r="E16" s="80"/>
      <c r="F16" s="80"/>
      <c r="G16" s="80"/>
      <c r="H16" s="80"/>
      <c r="I16" s="80"/>
      <c r="J16" s="80"/>
      <c r="K16" s="80"/>
      <c r="L16" s="30"/>
    </row>
    <row r="17" spans="1:12" x14ac:dyDescent="0.25">
      <c r="A17" s="24"/>
      <c r="B17" s="80"/>
      <c r="C17" s="80"/>
      <c r="D17" s="80"/>
      <c r="E17" s="80"/>
      <c r="F17" s="80"/>
      <c r="G17" s="80"/>
      <c r="H17" s="80"/>
      <c r="I17" s="80"/>
      <c r="J17" s="80"/>
      <c r="K17" s="80"/>
      <c r="L17" s="30"/>
    </row>
    <row r="18" spans="1:12" x14ac:dyDescent="0.25">
      <c r="A18" s="24"/>
      <c r="B18" s="25"/>
      <c r="C18" s="25"/>
      <c r="D18" s="25"/>
      <c r="E18" s="25"/>
      <c r="F18" s="25"/>
      <c r="G18" s="25"/>
      <c r="H18" s="25"/>
      <c r="I18" s="25"/>
      <c r="J18" s="25"/>
      <c r="K18" s="25"/>
      <c r="L18" s="30"/>
    </row>
    <row r="19" spans="1:12" x14ac:dyDescent="0.25">
      <c r="A19" s="24"/>
      <c r="B19" s="25"/>
      <c r="C19" s="25"/>
      <c r="D19" s="25"/>
      <c r="E19" s="25"/>
      <c r="F19" s="25"/>
      <c r="G19" s="25"/>
      <c r="H19" s="25"/>
      <c r="I19" s="25"/>
      <c r="J19" s="25"/>
      <c r="K19" s="25"/>
      <c r="L19" s="30"/>
    </row>
    <row r="20" spans="1:12" x14ac:dyDescent="0.25">
      <c r="A20" s="24"/>
      <c r="B20" s="80" t="s">
        <v>52</v>
      </c>
      <c r="C20" s="80"/>
      <c r="D20" s="80"/>
      <c r="E20" s="80"/>
      <c r="F20" s="80"/>
      <c r="G20" s="80"/>
      <c r="H20" s="80"/>
      <c r="I20" s="80"/>
      <c r="J20" s="80"/>
      <c r="K20" s="80"/>
      <c r="L20" s="30"/>
    </row>
    <row r="21" spans="1:12" x14ac:dyDescent="0.25">
      <c r="A21" s="24"/>
      <c r="B21" s="80"/>
      <c r="C21" s="80"/>
      <c r="D21" s="80"/>
      <c r="E21" s="80"/>
      <c r="F21" s="80"/>
      <c r="G21" s="80"/>
      <c r="H21" s="80"/>
      <c r="I21" s="80"/>
      <c r="J21" s="80"/>
      <c r="K21" s="80"/>
      <c r="L21" s="30"/>
    </row>
    <row r="22" spans="1:12" x14ac:dyDescent="0.25">
      <c r="A22" s="24"/>
      <c r="B22" s="80"/>
      <c r="C22" s="80"/>
      <c r="D22" s="80"/>
      <c r="E22" s="80"/>
      <c r="F22" s="80"/>
      <c r="G22" s="80"/>
      <c r="H22" s="80"/>
      <c r="I22" s="80"/>
      <c r="J22" s="80"/>
      <c r="K22" s="80"/>
      <c r="L22" s="30"/>
    </row>
    <row r="23" spans="1:12" x14ac:dyDescent="0.25">
      <c r="A23" s="24"/>
      <c r="B23" s="31"/>
      <c r="C23" s="31"/>
      <c r="D23" s="31"/>
      <c r="E23" s="31"/>
      <c r="F23" s="31"/>
      <c r="G23" s="31"/>
      <c r="H23" s="31"/>
      <c r="I23" s="31"/>
      <c r="J23" s="31"/>
      <c r="K23" s="31"/>
      <c r="L23" s="30"/>
    </row>
    <row r="24" spans="1:12" x14ac:dyDescent="0.25">
      <c r="A24" s="24"/>
      <c r="B24" s="31"/>
      <c r="C24" s="31"/>
      <c r="D24" s="31"/>
      <c r="E24" s="31"/>
      <c r="F24" s="31"/>
      <c r="G24" s="31"/>
      <c r="H24" s="31"/>
      <c r="I24" s="31"/>
      <c r="J24" s="31"/>
      <c r="K24" s="31"/>
      <c r="L24" s="30"/>
    </row>
    <row r="25" spans="1:12" x14ac:dyDescent="0.25">
      <c r="A25" s="24"/>
      <c r="B25" s="25"/>
      <c r="C25" s="25"/>
      <c r="D25" s="25"/>
      <c r="E25" s="25"/>
      <c r="F25" s="25"/>
      <c r="G25" s="25"/>
      <c r="H25" s="25"/>
      <c r="I25" s="25"/>
      <c r="J25" s="25"/>
      <c r="K25" s="25"/>
      <c r="L25" s="30"/>
    </row>
    <row r="26" spans="1:12" x14ac:dyDescent="0.25">
      <c r="A26" s="24"/>
      <c r="B26" s="25"/>
      <c r="C26" s="25"/>
      <c r="D26" s="25"/>
      <c r="E26" s="25"/>
      <c r="F26" s="25"/>
      <c r="G26" s="25"/>
      <c r="H26" s="25"/>
      <c r="I26" s="25"/>
      <c r="J26" s="25"/>
      <c r="K26" s="25"/>
      <c r="L26" s="30"/>
    </row>
    <row r="27" spans="1:12" x14ac:dyDescent="0.25">
      <c r="A27" s="24"/>
      <c r="B27" s="25"/>
      <c r="C27" s="25"/>
      <c r="D27" s="25"/>
      <c r="E27" s="25"/>
      <c r="F27" s="25"/>
      <c r="G27" s="25"/>
      <c r="H27" s="25"/>
      <c r="I27" s="25"/>
      <c r="J27" s="25"/>
      <c r="K27" s="25"/>
      <c r="L27" s="30"/>
    </row>
    <row r="28" spans="1:12" x14ac:dyDescent="0.25">
      <c r="A28" s="24"/>
      <c r="B28" s="25"/>
      <c r="C28" s="25"/>
      <c r="D28" s="25"/>
      <c r="E28" s="25"/>
      <c r="F28" s="25"/>
      <c r="G28" s="25"/>
      <c r="H28" s="25"/>
      <c r="I28" s="25"/>
      <c r="J28" s="25"/>
      <c r="K28" s="25"/>
      <c r="L28" s="30"/>
    </row>
    <row r="29" spans="1:12" x14ac:dyDescent="0.25">
      <c r="A29" s="24"/>
      <c r="B29" s="25"/>
      <c r="C29" s="25"/>
      <c r="D29" s="25"/>
      <c r="E29" s="25"/>
      <c r="F29" s="25"/>
      <c r="G29" s="25"/>
      <c r="H29" s="25"/>
      <c r="I29" s="25"/>
      <c r="J29" s="25"/>
      <c r="K29" s="25"/>
      <c r="L29" s="30"/>
    </row>
    <row r="30" spans="1:12" x14ac:dyDescent="0.25">
      <c r="A30" s="24"/>
      <c r="B30" s="25"/>
      <c r="C30" s="25"/>
      <c r="D30" s="25"/>
      <c r="E30" s="25"/>
      <c r="F30" s="25"/>
      <c r="G30" s="25"/>
      <c r="H30" s="25"/>
      <c r="I30" s="25"/>
      <c r="J30" s="25"/>
      <c r="K30" s="25"/>
      <c r="L30" s="30"/>
    </row>
    <row r="31" spans="1:12" x14ac:dyDescent="0.25">
      <c r="A31" s="24"/>
      <c r="B31" s="25"/>
      <c r="C31" s="25"/>
      <c r="D31" s="25"/>
      <c r="E31" s="25"/>
      <c r="F31" s="25"/>
      <c r="G31" s="25"/>
      <c r="H31" s="25"/>
      <c r="I31" s="25"/>
      <c r="J31" s="25"/>
      <c r="K31" s="25"/>
      <c r="L31" s="30"/>
    </row>
    <row r="32" spans="1:12" x14ac:dyDescent="0.25">
      <c r="A32" s="24"/>
      <c r="B32" s="25"/>
      <c r="C32" s="25"/>
      <c r="D32" s="25"/>
      <c r="E32" s="25"/>
      <c r="F32" s="25"/>
      <c r="G32" s="25"/>
      <c r="H32" s="25"/>
      <c r="I32" s="25"/>
      <c r="J32" s="25"/>
      <c r="K32" s="25"/>
      <c r="L32" s="30"/>
    </row>
    <row r="33" spans="1:12" x14ac:dyDescent="0.25">
      <c r="A33" s="24"/>
      <c r="B33" s="25"/>
      <c r="C33" s="25"/>
      <c r="D33" s="25"/>
      <c r="E33" s="25"/>
      <c r="F33" s="25"/>
      <c r="G33" s="25"/>
      <c r="H33" s="25"/>
      <c r="I33" s="25"/>
      <c r="J33" s="25"/>
      <c r="K33" s="25"/>
      <c r="L33" s="30"/>
    </row>
    <row r="34" spans="1:12" x14ac:dyDescent="0.25">
      <c r="A34" s="24"/>
      <c r="B34" s="25"/>
      <c r="C34" s="25"/>
      <c r="D34" s="25"/>
      <c r="E34" s="25"/>
      <c r="F34" s="25"/>
      <c r="G34" s="25"/>
      <c r="H34" s="25"/>
      <c r="I34" s="25"/>
      <c r="J34" s="25"/>
      <c r="K34" s="25"/>
      <c r="L34" s="30"/>
    </row>
    <row r="35" spans="1:12" x14ac:dyDescent="0.25">
      <c r="A35" s="24"/>
      <c r="B35" s="25"/>
      <c r="C35" s="25"/>
      <c r="D35" s="25"/>
      <c r="E35" s="25"/>
      <c r="F35" s="25"/>
      <c r="G35" s="25"/>
      <c r="H35" s="25"/>
      <c r="I35" s="25"/>
      <c r="J35" s="25"/>
      <c r="K35" s="25"/>
      <c r="L35" s="30"/>
    </row>
    <row r="36" spans="1:12" x14ac:dyDescent="0.25">
      <c r="A36" s="24"/>
      <c r="B36" s="25"/>
      <c r="C36" s="25"/>
      <c r="D36" s="25"/>
      <c r="E36" s="25"/>
      <c r="F36" s="25"/>
      <c r="G36" s="25"/>
      <c r="H36" s="25"/>
      <c r="I36" s="25"/>
      <c r="J36" s="25"/>
      <c r="K36" s="25"/>
      <c r="L36" s="30"/>
    </row>
    <row r="37" spans="1:12" x14ac:dyDescent="0.25">
      <c r="A37" s="24"/>
      <c r="B37" s="25"/>
      <c r="C37" s="25"/>
      <c r="D37" s="25"/>
      <c r="E37" s="25"/>
      <c r="F37" s="25"/>
      <c r="G37" s="25"/>
      <c r="H37" s="25"/>
      <c r="I37" s="25"/>
      <c r="J37" s="25"/>
      <c r="K37" s="25"/>
      <c r="L37" s="30"/>
    </row>
    <row r="38" spans="1:12" x14ac:dyDescent="0.25">
      <c r="A38" s="24"/>
      <c r="B38" s="25"/>
      <c r="C38" s="25"/>
      <c r="D38" s="25"/>
      <c r="E38" s="25"/>
      <c r="F38" s="25"/>
      <c r="G38" s="25"/>
      <c r="H38" s="25"/>
      <c r="I38" s="25"/>
      <c r="J38" s="25"/>
      <c r="K38" s="25"/>
      <c r="L38" s="30"/>
    </row>
    <row r="39" spans="1:12" x14ac:dyDescent="0.25">
      <c r="A39" s="24"/>
      <c r="B39" s="25"/>
      <c r="C39" s="25"/>
      <c r="D39" s="25"/>
      <c r="E39" s="25"/>
      <c r="F39" s="25"/>
      <c r="G39" s="25"/>
      <c r="H39" s="25"/>
      <c r="I39" s="25"/>
      <c r="J39" s="25"/>
      <c r="K39" s="25"/>
      <c r="L39" s="30"/>
    </row>
    <row r="40" spans="1:12" x14ac:dyDescent="0.25">
      <c r="A40" s="24"/>
      <c r="B40" s="25"/>
      <c r="C40" s="25"/>
      <c r="D40" s="25"/>
      <c r="E40" s="25"/>
      <c r="F40" s="25"/>
      <c r="G40" s="25"/>
      <c r="H40" s="25"/>
      <c r="I40" s="25"/>
      <c r="J40" s="25"/>
      <c r="K40" s="25"/>
      <c r="L40" s="30"/>
    </row>
    <row r="41" spans="1:12" x14ac:dyDescent="0.25">
      <c r="A41" s="24"/>
      <c r="B41" s="25"/>
      <c r="C41" s="25"/>
      <c r="D41" s="25"/>
      <c r="E41" s="25"/>
      <c r="F41" s="25"/>
      <c r="G41" s="25"/>
      <c r="H41" s="25"/>
      <c r="I41" s="25"/>
      <c r="J41" s="25"/>
      <c r="K41" s="25"/>
      <c r="L41" s="30"/>
    </row>
    <row r="42" spans="1:12" x14ac:dyDescent="0.25">
      <c r="A42" s="24"/>
      <c r="B42" s="25"/>
      <c r="C42" s="25"/>
      <c r="D42" s="25"/>
      <c r="E42" s="25"/>
      <c r="F42" s="25"/>
      <c r="G42" s="25"/>
      <c r="H42" s="25"/>
      <c r="I42" s="25"/>
      <c r="J42" s="25"/>
      <c r="K42" s="25"/>
      <c r="L42" s="30"/>
    </row>
    <row r="43" spans="1:12" x14ac:dyDescent="0.25">
      <c r="A43" s="24"/>
      <c r="B43" s="25"/>
      <c r="C43" s="25"/>
      <c r="D43" s="25"/>
      <c r="E43" s="25"/>
      <c r="F43" s="25"/>
      <c r="G43" s="25"/>
      <c r="H43" s="25"/>
      <c r="I43" s="25"/>
      <c r="J43" s="25"/>
      <c r="K43" s="25"/>
      <c r="L43" s="30"/>
    </row>
    <row r="44" spans="1:12" x14ac:dyDescent="0.25">
      <c r="A44" s="24"/>
      <c r="B44" s="25"/>
      <c r="C44" s="25"/>
      <c r="D44" s="25"/>
      <c r="E44" s="25"/>
      <c r="F44" s="25"/>
      <c r="G44" s="25"/>
      <c r="H44" s="25"/>
      <c r="I44" s="25"/>
      <c r="J44" s="25"/>
      <c r="K44" s="25"/>
      <c r="L44" s="30"/>
    </row>
    <row r="45" spans="1:12" x14ac:dyDescent="0.25">
      <c r="A45" s="24"/>
      <c r="B45" s="25"/>
      <c r="C45" s="25"/>
      <c r="D45" s="25"/>
      <c r="E45" s="25"/>
      <c r="F45" s="25"/>
      <c r="G45" s="25"/>
      <c r="H45" s="25"/>
      <c r="I45" s="25"/>
      <c r="J45" s="25"/>
      <c r="K45" s="25"/>
      <c r="L45" s="30"/>
    </row>
    <row r="46" spans="1:12" x14ac:dyDescent="0.25">
      <c r="A46" s="24"/>
      <c r="B46" s="25"/>
      <c r="C46" s="25"/>
      <c r="D46" s="25"/>
      <c r="E46" s="25"/>
      <c r="F46" s="25"/>
      <c r="G46" s="25"/>
      <c r="H46" s="25"/>
      <c r="I46" s="25"/>
      <c r="J46" s="25"/>
      <c r="K46" s="25"/>
      <c r="L46" s="30"/>
    </row>
    <row r="47" spans="1:12" x14ac:dyDescent="0.25">
      <c r="A47" s="24"/>
      <c r="B47" s="25"/>
      <c r="C47" s="25"/>
      <c r="D47" s="25"/>
      <c r="E47" s="25"/>
      <c r="F47" s="25"/>
      <c r="G47" s="25"/>
      <c r="H47" s="25"/>
      <c r="I47" s="25"/>
      <c r="J47" s="25"/>
      <c r="K47" s="25"/>
      <c r="L47" s="30"/>
    </row>
    <row r="48" spans="1:12" x14ac:dyDescent="0.25">
      <c r="A48" s="24"/>
      <c r="B48" s="25"/>
      <c r="C48" s="25"/>
      <c r="D48" s="25"/>
      <c r="E48" s="25"/>
      <c r="F48" s="25"/>
      <c r="G48" s="25"/>
      <c r="H48" s="25"/>
      <c r="I48" s="25"/>
      <c r="J48" s="25"/>
      <c r="K48" s="25"/>
      <c r="L48" s="30"/>
    </row>
    <row r="49" spans="1:12" x14ac:dyDescent="0.25">
      <c r="A49" s="24"/>
      <c r="B49" s="25"/>
      <c r="C49" s="25"/>
      <c r="D49" s="25"/>
      <c r="E49" s="25"/>
      <c r="F49" s="25"/>
      <c r="G49" s="25"/>
      <c r="H49" s="25"/>
      <c r="I49" s="25"/>
      <c r="J49" s="25"/>
      <c r="K49" s="25"/>
      <c r="L49" s="30"/>
    </row>
    <row r="50" spans="1:12" x14ac:dyDescent="0.25">
      <c r="A50" s="24"/>
      <c r="B50" s="25"/>
      <c r="C50" s="25"/>
      <c r="D50" s="25"/>
      <c r="E50" s="25"/>
      <c r="F50" s="25"/>
      <c r="G50" s="25"/>
      <c r="H50" s="25"/>
      <c r="I50" s="25"/>
      <c r="J50" s="25"/>
      <c r="K50" s="25"/>
      <c r="L50" s="30"/>
    </row>
    <row r="51" spans="1:12" x14ac:dyDescent="0.25">
      <c r="A51" s="24"/>
      <c r="B51" s="25"/>
      <c r="C51" s="25"/>
      <c r="D51" s="25"/>
      <c r="E51" s="25"/>
      <c r="F51" s="25"/>
      <c r="G51" s="25"/>
      <c r="H51" s="25"/>
      <c r="I51" s="25"/>
      <c r="J51" s="25"/>
      <c r="K51" s="25"/>
      <c r="L51" s="30"/>
    </row>
    <row r="52" spans="1:12" x14ac:dyDescent="0.25">
      <c r="A52" s="24"/>
      <c r="B52" s="25"/>
      <c r="C52" s="25"/>
      <c r="D52" s="25"/>
      <c r="E52" s="25"/>
      <c r="F52" s="25"/>
      <c r="G52" s="25"/>
      <c r="H52" s="25"/>
      <c r="I52" s="25"/>
      <c r="J52" s="25"/>
      <c r="K52" s="25"/>
      <c r="L52" s="30"/>
    </row>
    <row r="53" spans="1:12" x14ac:dyDescent="0.25">
      <c r="A53" s="24"/>
      <c r="B53" s="25"/>
      <c r="C53" s="25"/>
      <c r="D53" s="25"/>
      <c r="E53" s="25"/>
      <c r="F53" s="25"/>
      <c r="G53" s="25"/>
      <c r="H53" s="25"/>
      <c r="I53" s="25"/>
      <c r="J53" s="25"/>
      <c r="K53" s="25"/>
      <c r="L53" s="30"/>
    </row>
    <row r="54" spans="1:12" x14ac:dyDescent="0.25">
      <c r="A54" s="24"/>
      <c r="B54" s="25"/>
      <c r="C54" s="25"/>
      <c r="D54" s="25"/>
      <c r="E54" s="25"/>
      <c r="F54" s="25"/>
      <c r="G54" s="25"/>
      <c r="H54" s="25"/>
      <c r="I54" s="25"/>
      <c r="J54" s="25"/>
      <c r="K54" s="25"/>
      <c r="L54" s="30"/>
    </row>
    <row r="55" spans="1:12" x14ac:dyDescent="0.25">
      <c r="A55" s="24"/>
      <c r="B55" s="25"/>
      <c r="C55" s="25"/>
      <c r="D55" s="25"/>
      <c r="E55" s="25"/>
      <c r="F55" s="25"/>
      <c r="G55" s="25"/>
      <c r="H55" s="25"/>
      <c r="I55" s="25"/>
      <c r="J55" s="25"/>
      <c r="K55" s="25"/>
      <c r="L55" s="30"/>
    </row>
    <row r="56" spans="1:12" x14ac:dyDescent="0.25">
      <c r="A56" s="24"/>
      <c r="B56" s="25"/>
      <c r="C56" s="25"/>
      <c r="D56" s="25"/>
      <c r="E56" s="25"/>
      <c r="F56" s="25"/>
      <c r="G56" s="25"/>
      <c r="H56" s="25"/>
      <c r="I56" s="25"/>
      <c r="J56" s="25"/>
      <c r="K56" s="25"/>
      <c r="L56" s="30"/>
    </row>
    <row r="57" spans="1:12" x14ac:dyDescent="0.25">
      <c r="A57" s="24"/>
      <c r="B57" s="25"/>
      <c r="C57" s="25"/>
      <c r="D57" s="25"/>
      <c r="E57" s="25"/>
      <c r="F57" s="25"/>
      <c r="G57" s="25"/>
      <c r="H57" s="25"/>
      <c r="I57" s="25"/>
      <c r="J57" s="25"/>
      <c r="K57" s="25"/>
      <c r="L57" s="30"/>
    </row>
    <row r="58" spans="1:12" x14ac:dyDescent="0.25">
      <c r="A58" s="24"/>
      <c r="B58" s="25"/>
      <c r="C58" s="25"/>
      <c r="D58" s="25"/>
      <c r="E58" s="25"/>
      <c r="F58" s="25"/>
      <c r="G58" s="25"/>
      <c r="H58" s="25"/>
      <c r="I58" s="25"/>
      <c r="J58" s="25"/>
      <c r="K58" s="25"/>
      <c r="L58" s="30"/>
    </row>
    <row r="59" spans="1:12" x14ac:dyDescent="0.25">
      <c r="A59" s="24"/>
      <c r="B59" s="25"/>
      <c r="C59" s="32"/>
      <c r="D59" s="32"/>
      <c r="E59" s="25"/>
      <c r="F59" s="32"/>
      <c r="G59" s="32"/>
      <c r="H59" s="32"/>
      <c r="I59" s="32"/>
      <c r="J59" s="32"/>
      <c r="K59" s="32"/>
      <c r="L59" s="33"/>
    </row>
    <row r="60" spans="1:12" x14ac:dyDescent="0.25">
      <c r="A60" s="24"/>
      <c r="B60" s="25"/>
      <c r="C60" s="34" t="s">
        <v>53</v>
      </c>
      <c r="D60" s="67"/>
      <c r="E60" s="59" t="s">
        <v>54</v>
      </c>
      <c r="F60" s="60"/>
      <c r="G60" s="81" t="s">
        <v>55</v>
      </c>
      <c r="H60" s="82"/>
      <c r="I60" s="82"/>
      <c r="J60" s="82"/>
      <c r="K60" s="82"/>
      <c r="L60" s="83"/>
    </row>
    <row r="61" spans="1:12" x14ac:dyDescent="0.25">
      <c r="A61" s="24"/>
      <c r="B61" s="25"/>
      <c r="C61" s="35" t="s">
        <v>56</v>
      </c>
      <c r="D61" s="67"/>
      <c r="E61" s="78" t="s">
        <v>57</v>
      </c>
      <c r="F61" s="79"/>
      <c r="G61" s="25"/>
      <c r="H61" s="25"/>
      <c r="I61" s="25"/>
      <c r="J61" s="25"/>
      <c r="K61" s="25"/>
      <c r="L61" s="30"/>
    </row>
    <row r="62" spans="1:12" x14ac:dyDescent="0.25">
      <c r="A62" s="24"/>
      <c r="B62" s="25"/>
      <c r="C62" s="35" t="s">
        <v>58</v>
      </c>
      <c r="D62" s="81"/>
      <c r="E62" s="84" t="s">
        <v>59</v>
      </c>
      <c r="F62" s="62"/>
      <c r="G62" s="36"/>
      <c r="H62" s="32"/>
      <c r="I62" s="32"/>
      <c r="J62" s="32"/>
      <c r="K62" s="32"/>
      <c r="L62" s="33"/>
    </row>
    <row r="63" spans="1:12" x14ac:dyDescent="0.25">
      <c r="A63" s="24"/>
      <c r="B63" s="25"/>
      <c r="C63" s="37" t="s">
        <v>60</v>
      </c>
      <c r="D63" s="59" t="s">
        <v>61</v>
      </c>
      <c r="E63" s="71"/>
      <c r="F63" s="60"/>
      <c r="G63" s="25"/>
      <c r="H63" s="25"/>
      <c r="I63" s="25"/>
      <c r="J63" s="25"/>
      <c r="K63" s="25"/>
      <c r="L63" s="38"/>
    </row>
    <row r="64" spans="1:12" x14ac:dyDescent="0.25">
      <c r="A64" s="24"/>
      <c r="B64" s="25"/>
      <c r="C64" s="37" t="s">
        <v>62</v>
      </c>
      <c r="D64" s="72"/>
      <c r="E64" s="73"/>
      <c r="F64" s="74"/>
      <c r="G64" s="25"/>
      <c r="H64" s="39" t="s">
        <v>63</v>
      </c>
      <c r="I64" s="39"/>
      <c r="J64" s="39"/>
      <c r="K64" s="25"/>
      <c r="L64" s="30"/>
    </row>
    <row r="65" spans="1:12" x14ac:dyDescent="0.25">
      <c r="A65" s="24"/>
      <c r="B65" s="25"/>
      <c r="C65" s="37" t="s">
        <v>64</v>
      </c>
      <c r="D65" s="72"/>
      <c r="E65" s="73"/>
      <c r="F65" s="74"/>
      <c r="G65" s="25"/>
      <c r="H65" s="39"/>
      <c r="I65" s="39"/>
      <c r="J65" s="39"/>
      <c r="K65" s="40"/>
      <c r="L65" s="41" t="s">
        <v>65</v>
      </c>
    </row>
    <row r="66" spans="1:12" x14ac:dyDescent="0.25">
      <c r="A66" s="24"/>
      <c r="B66" s="25"/>
      <c r="C66" s="37" t="s">
        <v>66</v>
      </c>
      <c r="D66" s="75"/>
      <c r="E66" s="76"/>
      <c r="F66" s="77"/>
      <c r="G66" s="36"/>
      <c r="H66" s="32"/>
      <c r="I66" s="32"/>
      <c r="J66" s="32"/>
      <c r="K66" s="42"/>
      <c r="L66" s="43" t="s">
        <v>67</v>
      </c>
    </row>
    <row r="67" spans="1:12" x14ac:dyDescent="0.25">
      <c r="A67" s="24"/>
      <c r="B67" s="25"/>
      <c r="C67" s="44" t="s">
        <v>68</v>
      </c>
      <c r="D67" s="35" t="s">
        <v>69</v>
      </c>
      <c r="E67" s="78" t="s">
        <v>47</v>
      </c>
      <c r="F67" s="79"/>
      <c r="G67" s="25" t="s">
        <v>70</v>
      </c>
      <c r="H67" s="25"/>
      <c r="I67" s="25"/>
      <c r="J67" s="25"/>
      <c r="K67" s="25"/>
      <c r="L67" s="30"/>
    </row>
    <row r="68" spans="1:12" x14ac:dyDescent="0.25">
      <c r="A68" s="66" t="s">
        <v>71</v>
      </c>
      <c r="B68" s="67"/>
      <c r="C68" s="44" t="s">
        <v>72</v>
      </c>
      <c r="D68" s="45" t="s">
        <v>73</v>
      </c>
      <c r="E68" s="61">
        <v>42579</v>
      </c>
      <c r="F68" s="68"/>
      <c r="G68" s="56"/>
      <c r="H68" s="57"/>
      <c r="I68" s="57"/>
      <c r="J68" s="57"/>
      <c r="K68" s="57"/>
      <c r="L68" s="58"/>
    </row>
    <row r="69" spans="1:12" x14ac:dyDescent="0.25">
      <c r="A69" s="46" t="s">
        <v>74</v>
      </c>
      <c r="B69" s="47" t="s">
        <v>75</v>
      </c>
      <c r="C69" s="48" t="s">
        <v>76</v>
      </c>
      <c r="D69" s="34" t="s">
        <v>77</v>
      </c>
      <c r="E69" s="59" t="s">
        <v>47</v>
      </c>
      <c r="F69" s="60"/>
      <c r="G69" s="56" t="s">
        <v>94</v>
      </c>
      <c r="H69" s="57"/>
      <c r="I69" s="57"/>
      <c r="J69" s="57"/>
      <c r="K69" s="57"/>
      <c r="L69" s="58"/>
    </row>
    <row r="70" spans="1:12" x14ac:dyDescent="0.25">
      <c r="A70" s="46"/>
      <c r="B70" s="47"/>
      <c r="C70" s="35" t="s">
        <v>78</v>
      </c>
      <c r="D70" s="45" t="s">
        <v>98</v>
      </c>
      <c r="E70" s="61">
        <v>42585</v>
      </c>
      <c r="F70" s="62"/>
      <c r="G70" s="56" t="s">
        <v>79</v>
      </c>
      <c r="H70" s="57"/>
      <c r="I70" s="57"/>
      <c r="J70" s="57"/>
      <c r="K70" s="57"/>
      <c r="L70" s="58"/>
    </row>
    <row r="71" spans="1:12" x14ac:dyDescent="0.25">
      <c r="A71" s="46"/>
      <c r="B71" s="47"/>
      <c r="C71" s="35" t="s">
        <v>80</v>
      </c>
      <c r="D71" s="34" t="s">
        <v>48</v>
      </c>
      <c r="E71" s="59" t="s">
        <v>47</v>
      </c>
      <c r="F71" s="60"/>
      <c r="G71" s="63"/>
      <c r="H71" s="64"/>
      <c r="I71" s="64"/>
      <c r="J71" s="64"/>
      <c r="K71" s="64"/>
      <c r="L71" s="65"/>
    </row>
    <row r="72" spans="1:12" x14ac:dyDescent="0.25">
      <c r="A72" s="46"/>
      <c r="B72" s="47"/>
      <c r="C72" s="35" t="s">
        <v>81</v>
      </c>
      <c r="D72" s="45" t="s">
        <v>99</v>
      </c>
      <c r="E72" s="61">
        <v>42585</v>
      </c>
      <c r="F72" s="62"/>
      <c r="G72" s="49" t="s">
        <v>82</v>
      </c>
      <c r="H72" s="50" t="s">
        <v>83</v>
      </c>
      <c r="I72" s="21" t="s">
        <v>84</v>
      </c>
      <c r="J72" s="22"/>
      <c r="K72" s="38"/>
      <c r="L72" s="49" t="s">
        <v>45</v>
      </c>
    </row>
    <row r="73" spans="1:12" ht="15" customHeight="1" x14ac:dyDescent="0.25">
      <c r="A73" s="46"/>
      <c r="B73" s="47"/>
      <c r="C73" s="35" t="s">
        <v>85</v>
      </c>
      <c r="D73" s="34" t="s">
        <v>86</v>
      </c>
      <c r="E73" s="59" t="s">
        <v>47</v>
      </c>
      <c r="F73" s="60"/>
      <c r="G73" s="51" t="s">
        <v>87</v>
      </c>
      <c r="H73" s="52">
        <v>80045</v>
      </c>
      <c r="I73" s="63" t="s">
        <v>95</v>
      </c>
      <c r="J73" s="64"/>
      <c r="K73" s="65"/>
      <c r="L73" s="53" t="s">
        <v>49</v>
      </c>
    </row>
    <row r="74" spans="1:12" x14ac:dyDescent="0.25">
      <c r="A74" s="46"/>
      <c r="B74" s="47"/>
      <c r="C74" s="45" t="s">
        <v>88</v>
      </c>
      <c r="D74" s="45" t="s">
        <v>100</v>
      </c>
      <c r="E74" s="61">
        <v>42584</v>
      </c>
      <c r="F74" s="62"/>
      <c r="G74" s="47" t="s">
        <v>89</v>
      </c>
      <c r="H74" s="54" t="s">
        <v>90</v>
      </c>
      <c r="I74" s="47"/>
      <c r="J74" s="47" t="s">
        <v>91</v>
      </c>
      <c r="K74" s="69" t="s">
        <v>92</v>
      </c>
      <c r="L74" s="70"/>
    </row>
    <row r="75" spans="1:12" x14ac:dyDescent="0.25">
      <c r="A75" s="55" t="s">
        <v>93</v>
      </c>
      <c r="B75" s="55"/>
      <c r="C75" s="55"/>
      <c r="D75" s="55"/>
      <c r="E75" s="55"/>
      <c r="F75" s="55"/>
      <c r="G75" s="55"/>
      <c r="H75" s="55"/>
      <c r="I75" s="55"/>
      <c r="J75" s="55"/>
      <c r="K75" s="55"/>
      <c r="L75" s="55"/>
    </row>
  </sheetData>
  <mergeCells count="42">
    <mergeCell ref="F4:I4"/>
    <mergeCell ref="K4:L4"/>
    <mergeCell ref="E1:L1"/>
    <mergeCell ref="F2:I2"/>
    <mergeCell ref="K2:L2"/>
    <mergeCell ref="F3:I3"/>
    <mergeCell ref="K3:L3"/>
    <mergeCell ref="F5:I5"/>
    <mergeCell ref="K5:L5"/>
    <mergeCell ref="F6:I6"/>
    <mergeCell ref="K6:L6"/>
    <mergeCell ref="F7:I7"/>
    <mergeCell ref="K7:L7"/>
    <mergeCell ref="F8:I8"/>
    <mergeCell ref="K8:L8"/>
    <mergeCell ref="B9:K17"/>
    <mergeCell ref="B20:K22"/>
    <mergeCell ref="D60:D62"/>
    <mergeCell ref="E60:F60"/>
    <mergeCell ref="G60:L60"/>
    <mergeCell ref="E61:F61"/>
    <mergeCell ref="E62:F62"/>
    <mergeCell ref="D63:F63"/>
    <mergeCell ref="D64:F64"/>
    <mergeCell ref="D65:F65"/>
    <mergeCell ref="D66:F66"/>
    <mergeCell ref="E67:F67"/>
    <mergeCell ref="A75:L75"/>
    <mergeCell ref="G68:L68"/>
    <mergeCell ref="E69:F69"/>
    <mergeCell ref="G69:L69"/>
    <mergeCell ref="E70:F70"/>
    <mergeCell ref="G70:L70"/>
    <mergeCell ref="E71:F71"/>
    <mergeCell ref="G71:L71"/>
    <mergeCell ref="A68:B68"/>
    <mergeCell ref="E68:F68"/>
    <mergeCell ref="E72:F72"/>
    <mergeCell ref="E73:F73"/>
    <mergeCell ref="I73:K73"/>
    <mergeCell ref="E74:F74"/>
    <mergeCell ref="K74:L74"/>
  </mergeCells>
  <pageMargins left="0.7" right="0.7" top="0.75" bottom="0.75" header="0.3" footer="0.3"/>
  <pageSetup scale="7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14"/>
  <sheetViews>
    <sheetView tabSelected="1" zoomScale="90" zoomScaleNormal="90" workbookViewId="0">
      <selection activeCell="B3" sqref="B3"/>
    </sheetView>
  </sheetViews>
  <sheetFormatPr defaultColWidth="13.88671875" defaultRowHeight="14.4" x14ac:dyDescent="0.3"/>
  <cols>
    <col min="2" max="2" width="28.6640625" style="13" bestFit="1" customWidth="1"/>
    <col min="3" max="3" width="13.88671875" style="9"/>
    <col min="4" max="4" width="10.33203125" customWidth="1"/>
    <col min="5" max="7" width="16.44140625" customWidth="1"/>
    <col min="17" max="17" width="10.33203125" bestFit="1" customWidth="1"/>
    <col min="18" max="18" width="15.5546875" customWidth="1"/>
    <col min="19" max="19" width="15.33203125" customWidth="1"/>
    <col min="20" max="20" width="10.33203125" bestFit="1" customWidth="1"/>
    <col min="23" max="23" width="10.33203125" bestFit="1" customWidth="1"/>
  </cols>
  <sheetData>
    <row r="1" spans="1:7" s="1" customFormat="1" ht="57.6" x14ac:dyDescent="0.3">
      <c r="A1" s="2" t="s">
        <v>40</v>
      </c>
      <c r="B1" s="2" t="s">
        <v>4</v>
      </c>
      <c r="C1" s="7"/>
      <c r="D1" s="2" t="s">
        <v>0</v>
      </c>
      <c r="E1" s="2" t="s">
        <v>42</v>
      </c>
      <c r="F1" s="5" t="s">
        <v>0</v>
      </c>
      <c r="G1" s="5" t="s">
        <v>39</v>
      </c>
    </row>
    <row r="2" spans="1:7" x14ac:dyDescent="0.3">
      <c r="A2" s="2">
        <v>36.200000000000003</v>
      </c>
      <c r="B2" s="3">
        <f>ROUND(LOG_RMS('Y-Axis Weight'!B24:B28,'Y-Axis Weight'!J24:J28)/LOG_RMS('Y-Axis Weight'!B24:B28,'Y-Axis Weight'!D24:D28)*10,1)</f>
        <v>48.8</v>
      </c>
      <c r="C2" s="8"/>
      <c r="D2" s="3">
        <v>20</v>
      </c>
      <c r="E2" s="4">
        <v>88</v>
      </c>
      <c r="F2" s="6">
        <f>D2</f>
        <v>20</v>
      </c>
      <c r="G2" s="10">
        <f>E2*10^($B$5/10)</f>
        <v>179.43418031159939</v>
      </c>
    </row>
    <row r="3" spans="1:7" ht="15" thickBot="1" x14ac:dyDescent="0.35">
      <c r="D3" s="3">
        <v>40</v>
      </c>
      <c r="E3" s="4">
        <v>714</v>
      </c>
      <c r="F3" s="6">
        <f t="shared" ref="F3:F12" si="0">D3</f>
        <v>40</v>
      </c>
      <c r="G3" s="10">
        <f t="shared" ref="G3:G12" si="1">E3*10^($B$5/10)</f>
        <v>1455.863690255477</v>
      </c>
    </row>
    <row r="4" spans="1:7" ht="18" x14ac:dyDescent="0.35">
      <c r="B4" s="15" t="s">
        <v>5</v>
      </c>
      <c r="D4" s="3">
        <v>70</v>
      </c>
      <c r="E4" s="4">
        <v>714</v>
      </c>
      <c r="F4" s="6">
        <f t="shared" si="0"/>
        <v>70</v>
      </c>
      <c r="G4" s="10">
        <f t="shared" si="1"/>
        <v>1455.863690255477</v>
      </c>
    </row>
    <row r="5" spans="1:7" ht="18.600000000000001" thickBot="1" x14ac:dyDescent="0.4">
      <c r="B5" s="16">
        <f t="shared" ref="B5" si="2">20*LOG(B2/$A$2)+0.5</f>
        <v>3.0942250293908975</v>
      </c>
      <c r="D5" s="3">
        <v>110</v>
      </c>
      <c r="E5" s="4">
        <v>287</v>
      </c>
      <c r="F5" s="6">
        <f t="shared" si="0"/>
        <v>110</v>
      </c>
      <c r="G5" s="10">
        <f t="shared" si="1"/>
        <v>585.20011078896619</v>
      </c>
    </row>
    <row r="6" spans="1:7" ht="18.600000000000001" thickBot="1" x14ac:dyDescent="0.4">
      <c r="B6" s="12"/>
      <c r="D6" s="3">
        <v>180</v>
      </c>
      <c r="E6" s="4">
        <v>287</v>
      </c>
      <c r="F6" s="6">
        <f t="shared" si="0"/>
        <v>180</v>
      </c>
      <c r="G6" s="10">
        <f t="shared" si="1"/>
        <v>585.20011078896619</v>
      </c>
    </row>
    <row r="7" spans="1:7" ht="18" x14ac:dyDescent="0.35">
      <c r="B7" s="17" t="s">
        <v>38</v>
      </c>
      <c r="D7" s="3">
        <v>280</v>
      </c>
      <c r="E7" s="4">
        <v>203</v>
      </c>
      <c r="F7" s="6">
        <f t="shared" si="0"/>
        <v>280</v>
      </c>
      <c r="G7" s="10">
        <f t="shared" si="1"/>
        <v>413.92202958243951</v>
      </c>
    </row>
    <row r="8" spans="1:7" ht="18.600000000000001" thickBot="1" x14ac:dyDescent="0.4">
      <c r="B8" s="16">
        <f t="shared" ref="B8" si="3">10^(B5/10)</f>
        <v>2.039024776268175</v>
      </c>
      <c r="D8" s="3">
        <v>370</v>
      </c>
      <c r="E8" s="4">
        <v>85</v>
      </c>
      <c r="F8" s="6">
        <f t="shared" si="0"/>
        <v>370</v>
      </c>
      <c r="G8" s="10">
        <f t="shared" si="1"/>
        <v>173.31710598279489</v>
      </c>
    </row>
    <row r="9" spans="1:7" x14ac:dyDescent="0.3">
      <c r="D9" s="3">
        <v>630</v>
      </c>
      <c r="E9" s="4">
        <v>75</v>
      </c>
      <c r="F9" s="6">
        <f t="shared" si="0"/>
        <v>630</v>
      </c>
      <c r="G9" s="10">
        <f t="shared" si="1"/>
        <v>152.92685822011313</v>
      </c>
    </row>
    <row r="10" spans="1:7" ht="15" thickBot="1" x14ac:dyDescent="0.35">
      <c r="D10" s="3">
        <v>1400</v>
      </c>
      <c r="E10" s="4">
        <v>51</v>
      </c>
      <c r="F10" s="6">
        <f t="shared" si="0"/>
        <v>1400</v>
      </c>
      <c r="G10" s="10">
        <f t="shared" si="1"/>
        <v>103.99026358967693</v>
      </c>
    </row>
    <row r="11" spans="1:7" ht="15" thickBot="1" x14ac:dyDescent="0.35">
      <c r="B11" s="18" t="s">
        <v>43</v>
      </c>
      <c r="D11" s="3">
        <v>1800</v>
      </c>
      <c r="E11" s="4">
        <v>51</v>
      </c>
      <c r="F11" s="6">
        <f t="shared" si="0"/>
        <v>1800</v>
      </c>
      <c r="G11" s="10">
        <f t="shared" si="1"/>
        <v>103.99026358967693</v>
      </c>
    </row>
    <row r="12" spans="1:7" x14ac:dyDescent="0.3">
      <c r="B12" s="19" t="s">
        <v>41</v>
      </c>
      <c r="D12" s="3">
        <v>2000</v>
      </c>
      <c r="E12" s="4">
        <v>35</v>
      </c>
      <c r="F12" s="6">
        <f t="shared" si="0"/>
        <v>2000</v>
      </c>
      <c r="G12" s="10">
        <f t="shared" si="1"/>
        <v>71.365867169386121</v>
      </c>
    </row>
    <row r="13" spans="1:7" ht="15" thickBot="1" x14ac:dyDescent="0.35">
      <c r="B13" s="20">
        <v>2.21</v>
      </c>
      <c r="D13" s="3" t="s">
        <v>1</v>
      </c>
      <c r="E13" s="4">
        <f>LOG_RMS(D2:D12,E2:E12)</f>
        <v>445.46195745612715</v>
      </c>
      <c r="F13" s="6" t="s">
        <v>2</v>
      </c>
      <c r="G13" s="6" t="s">
        <v>3</v>
      </c>
    </row>
    <row r="14" spans="1:7" x14ac:dyDescent="0.3">
      <c r="B14" s="14">
        <f t="shared" ref="B14" si="4">+B13-B5</f>
        <v>-0.88422502939089753</v>
      </c>
      <c r="D14" s="3" t="s">
        <v>2</v>
      </c>
      <c r="E14" s="3" t="s">
        <v>3</v>
      </c>
    </row>
  </sheetData>
  <conditionalFormatting sqref="B7:B8">
    <cfRule type="expression" dxfId="5" priority="17">
      <formula>IF(ABS($B$14)&gt;1.5,TRUE)</formula>
    </cfRule>
    <cfRule type="expression" dxfId="4" priority="18">
      <formula>IF(ABS($B$14)&lt;1.5,TRUE)</formula>
    </cfRule>
  </conditionalFormatting>
  <conditionalFormatting sqref="B4:B5">
    <cfRule type="expression" dxfId="3" priority="13">
      <formula>IF(ABS($B$14)&gt;1.5,TRUE)</formula>
    </cfRule>
    <cfRule type="expression" dxfId="2" priority="14">
      <formula>IF(ABS($B$14)&lt;1.5,TRUE)</formula>
    </cfRule>
  </conditionalFormatting>
  <conditionalFormatting sqref="B5">
    <cfRule type="expression" dxfId="1" priority="7">
      <formula>IF(ABS($B$14)&gt;1.5,TRUE)</formula>
    </cfRule>
    <cfRule type="expression" dxfId="0" priority="8">
      <formula>IF(ABS($B$14)&lt;1.5,TRUE)</formula>
    </cfRule>
  </conditionalFormatting>
  <pageMargins left="0.7" right="0.7" top="0.75" bottom="0.75" header="0.3" footer="0.3"/>
  <pageSetup scale="77"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31"/>
  <sheetViews>
    <sheetView workbookViewId="0">
      <selection sqref="A1:J1048576"/>
    </sheetView>
  </sheetViews>
  <sheetFormatPr defaultRowHeight="14.4" x14ac:dyDescent="0.3"/>
  <sheetData>
    <row r="1" spans="1:5" x14ac:dyDescent="0.3">
      <c r="A1" t="s">
        <v>6</v>
      </c>
    </row>
    <row r="2" spans="1:5" x14ac:dyDescent="0.3">
      <c r="A2" t="s">
        <v>101</v>
      </c>
    </row>
    <row r="3" spans="1:5" x14ac:dyDescent="0.3">
      <c r="A3" t="s">
        <v>102</v>
      </c>
    </row>
    <row r="4" spans="1:5" x14ac:dyDescent="0.3">
      <c r="A4" t="s">
        <v>103</v>
      </c>
    </row>
    <row r="5" spans="1:5" x14ac:dyDescent="0.3">
      <c r="A5" t="s">
        <v>7</v>
      </c>
    </row>
    <row r="6" spans="1:5" x14ac:dyDescent="0.3">
      <c r="A6" t="s">
        <v>8</v>
      </c>
    </row>
    <row r="7" spans="1:5" x14ac:dyDescent="0.3">
      <c r="A7" t="s">
        <v>9</v>
      </c>
    </row>
    <row r="8" spans="1:5" x14ac:dyDescent="0.3">
      <c r="A8" t="s">
        <v>10</v>
      </c>
    </row>
    <row r="9" spans="1:5" x14ac:dyDescent="0.3">
      <c r="A9" t="s">
        <v>11</v>
      </c>
    </row>
    <row r="10" spans="1:5" x14ac:dyDescent="0.3">
      <c r="A10" t="s">
        <v>12</v>
      </c>
    </row>
    <row r="11" spans="1:5" x14ac:dyDescent="0.3">
      <c r="A11" t="s">
        <v>13</v>
      </c>
      <c r="B11" t="s">
        <v>14</v>
      </c>
      <c r="C11" t="s">
        <v>15</v>
      </c>
      <c r="D11" t="s">
        <v>16</v>
      </c>
      <c r="E11" t="s">
        <v>17</v>
      </c>
    </row>
    <row r="12" spans="1:5" x14ac:dyDescent="0.3">
      <c r="A12" t="s">
        <v>18</v>
      </c>
      <c r="B12" t="s">
        <v>19</v>
      </c>
      <c r="C12" t="s">
        <v>20</v>
      </c>
      <c r="D12" t="s">
        <v>104</v>
      </c>
    </row>
    <row r="13" spans="1:5" x14ac:dyDescent="0.3">
      <c r="A13">
        <v>1</v>
      </c>
      <c r="B13">
        <v>10.01</v>
      </c>
      <c r="C13" t="s">
        <v>21</v>
      </c>
      <c r="D13">
        <v>100</v>
      </c>
      <c r="E13" t="s">
        <v>22</v>
      </c>
    </row>
    <row r="14" spans="1:5" x14ac:dyDescent="0.3">
      <c r="A14">
        <v>2</v>
      </c>
      <c r="B14">
        <v>10.07</v>
      </c>
      <c r="C14" t="s">
        <v>21</v>
      </c>
      <c r="D14">
        <v>100</v>
      </c>
      <c r="E14" t="s">
        <v>22</v>
      </c>
    </row>
    <row r="15" spans="1:5" x14ac:dyDescent="0.3">
      <c r="A15">
        <v>3</v>
      </c>
      <c r="B15">
        <v>10.45</v>
      </c>
      <c r="C15" t="s">
        <v>21</v>
      </c>
      <c r="D15">
        <v>100</v>
      </c>
      <c r="E15" t="s">
        <v>105</v>
      </c>
    </row>
    <row r="16" spans="1:5" x14ac:dyDescent="0.3">
      <c r="A16">
        <v>4</v>
      </c>
      <c r="B16">
        <v>10</v>
      </c>
      <c r="C16" t="s">
        <v>21</v>
      </c>
      <c r="D16">
        <v>200</v>
      </c>
      <c r="E16" t="s">
        <v>23</v>
      </c>
    </row>
    <row r="18" spans="1:13" x14ac:dyDescent="0.3">
      <c r="A18" t="s">
        <v>24</v>
      </c>
      <c r="B18" t="s">
        <v>0</v>
      </c>
      <c r="C18" t="s">
        <v>25</v>
      </c>
      <c r="D18" t="s">
        <v>26</v>
      </c>
      <c r="E18" t="s">
        <v>27</v>
      </c>
      <c r="F18" t="s">
        <v>28</v>
      </c>
      <c r="G18" t="s">
        <v>29</v>
      </c>
      <c r="H18" t="s">
        <v>30</v>
      </c>
      <c r="I18" t="s">
        <v>31</v>
      </c>
      <c r="J18" t="s">
        <v>32</v>
      </c>
      <c r="L18" s="11"/>
      <c r="M18" s="11"/>
    </row>
    <row r="19" spans="1:13" x14ac:dyDescent="0.3">
      <c r="A19" t="s">
        <v>33</v>
      </c>
      <c r="B19" t="s">
        <v>34</v>
      </c>
      <c r="C19" t="s">
        <v>35</v>
      </c>
      <c r="D19" t="s">
        <v>35</v>
      </c>
      <c r="E19" t="s">
        <v>36</v>
      </c>
      <c r="F19" t="s">
        <v>37</v>
      </c>
      <c r="G19" t="s">
        <v>35</v>
      </c>
      <c r="H19" t="s">
        <v>35</v>
      </c>
      <c r="I19" t="s">
        <v>35</v>
      </c>
      <c r="J19" t="s">
        <v>35</v>
      </c>
    </row>
    <row r="21" spans="1:13" x14ac:dyDescent="0.3">
      <c r="A21">
        <v>2</v>
      </c>
      <c r="B21">
        <v>5</v>
      </c>
      <c r="C21">
        <v>0</v>
      </c>
      <c r="D21">
        <v>1.4775000000000001E-3</v>
      </c>
      <c r="E21">
        <v>0</v>
      </c>
      <c r="F21">
        <v>0</v>
      </c>
      <c r="G21">
        <v>1.55938E-3</v>
      </c>
      <c r="H21">
        <v>1.39561E-3</v>
      </c>
      <c r="I21">
        <v>1.7177200000000001E-3</v>
      </c>
      <c r="J21">
        <v>2.9102799999999999E-3</v>
      </c>
    </row>
    <row r="22" spans="1:13" x14ac:dyDescent="0.3">
      <c r="A22">
        <v>3</v>
      </c>
      <c r="B22">
        <v>10</v>
      </c>
      <c r="C22">
        <v>0</v>
      </c>
      <c r="D22">
        <v>4.6E-6</v>
      </c>
      <c r="E22">
        <v>0</v>
      </c>
      <c r="F22">
        <v>0</v>
      </c>
      <c r="G22">
        <v>4.6199999999999998E-6</v>
      </c>
      <c r="H22">
        <v>4.5800000000000002E-6</v>
      </c>
      <c r="I22">
        <v>4.8199999999999996E-6</v>
      </c>
      <c r="J22">
        <v>1.0207E-4</v>
      </c>
    </row>
    <row r="23" spans="1:13" x14ac:dyDescent="0.3">
      <c r="A23">
        <v>4</v>
      </c>
      <c r="B23">
        <v>15</v>
      </c>
      <c r="C23">
        <v>0</v>
      </c>
      <c r="D23">
        <v>7.8540000000000004E-5</v>
      </c>
      <c r="E23">
        <v>0</v>
      </c>
      <c r="F23">
        <v>0</v>
      </c>
      <c r="G23">
        <v>7.9049999999999997E-5</v>
      </c>
      <c r="H23">
        <v>7.8040000000000005E-5</v>
      </c>
      <c r="I23">
        <v>8.229E-5</v>
      </c>
      <c r="J23">
        <v>1.75027E-3</v>
      </c>
    </row>
    <row r="24" spans="1:13" x14ac:dyDescent="0.3">
      <c r="A24">
        <v>5</v>
      </c>
      <c r="B24">
        <v>20</v>
      </c>
      <c r="C24">
        <v>5.9999999999999995E-4</v>
      </c>
      <c r="D24">
        <v>3.3101000000000002E-4</v>
      </c>
      <c r="E24">
        <v>1.134E-5</v>
      </c>
      <c r="F24">
        <v>0.18192203000000001</v>
      </c>
      <c r="G24">
        <v>3.3322000000000001E-4</v>
      </c>
      <c r="H24">
        <v>3.2881000000000002E-4</v>
      </c>
      <c r="I24">
        <v>3.4675999999999999E-4</v>
      </c>
      <c r="J24">
        <v>7.3028800000000003E-3</v>
      </c>
    </row>
    <row r="25" spans="1:13" x14ac:dyDescent="0.3">
      <c r="A25">
        <v>6</v>
      </c>
      <c r="B25">
        <v>25</v>
      </c>
      <c r="C25">
        <v>1.2171599999999999E-3</v>
      </c>
      <c r="D25">
        <v>5.7052000000000003E-4</v>
      </c>
      <c r="E25">
        <v>1.3339999999999999E-5</v>
      </c>
      <c r="F25">
        <v>0.14993152000000001</v>
      </c>
      <c r="G25">
        <v>5.7419000000000003E-4</v>
      </c>
      <c r="H25">
        <v>5.6685000000000004E-4</v>
      </c>
      <c r="I25">
        <v>5.9794999999999998E-4</v>
      </c>
      <c r="J25">
        <v>1.2896309999999999E-2</v>
      </c>
    </row>
    <row r="26" spans="1:13" x14ac:dyDescent="0.3">
      <c r="A26">
        <v>7</v>
      </c>
      <c r="B26">
        <v>30</v>
      </c>
      <c r="C26">
        <v>2.1694399999999999E-3</v>
      </c>
      <c r="D26">
        <v>1.0965599999999999E-3</v>
      </c>
      <c r="E26">
        <v>1.543E-5</v>
      </c>
      <c r="F26">
        <v>0.11215957</v>
      </c>
      <c r="G26">
        <v>1.10362E-3</v>
      </c>
      <c r="H26">
        <v>1.0895E-3</v>
      </c>
      <c r="I26">
        <v>1.1500099999999999E-3</v>
      </c>
      <c r="J26">
        <v>2.56247E-2</v>
      </c>
    </row>
    <row r="27" spans="1:13" x14ac:dyDescent="0.3">
      <c r="A27">
        <v>8</v>
      </c>
      <c r="B27">
        <v>35</v>
      </c>
      <c r="C27">
        <v>3.5364200000000002E-3</v>
      </c>
      <c r="D27">
        <v>2.0532900000000001E-3</v>
      </c>
      <c r="E27">
        <v>1.1270000000000001E-5</v>
      </c>
      <c r="F27">
        <v>9.0190160000000005E-2</v>
      </c>
      <c r="G27">
        <v>2.0670200000000001E-3</v>
      </c>
      <c r="H27">
        <v>2.0395500000000002E-3</v>
      </c>
      <c r="I27">
        <v>2.1550800000000002E-3</v>
      </c>
      <c r="J27">
        <v>4.9468419999999999E-2</v>
      </c>
    </row>
    <row r="28" spans="1:13" x14ac:dyDescent="0.3">
      <c r="A28">
        <v>9</v>
      </c>
      <c r="B28">
        <v>40</v>
      </c>
      <c r="C28">
        <v>5.4000000000000003E-3</v>
      </c>
      <c r="D28">
        <v>2.9374599999999998E-3</v>
      </c>
      <c r="E28">
        <v>2.2969999999999999E-5</v>
      </c>
      <c r="F28">
        <v>8.1710740000000004E-2</v>
      </c>
      <c r="G28">
        <v>2.9571200000000001E-3</v>
      </c>
      <c r="H28">
        <v>2.9178099999999998E-3</v>
      </c>
      <c r="I28">
        <v>3.0845099999999999E-3</v>
      </c>
      <c r="J28">
        <v>7.2039729999999996E-2</v>
      </c>
    </row>
    <row r="29" spans="1:13" x14ac:dyDescent="0.3">
      <c r="A29">
        <v>10</v>
      </c>
      <c r="B29">
        <v>45</v>
      </c>
      <c r="C29">
        <v>5.4000000000000003E-3</v>
      </c>
      <c r="D29">
        <v>2.6822199999999999E-3</v>
      </c>
      <c r="E29">
        <v>1.0550000000000001E-5</v>
      </c>
      <c r="F29">
        <v>7.1496909999999997E-2</v>
      </c>
      <c r="G29">
        <v>2.6994499999999999E-3</v>
      </c>
      <c r="H29">
        <v>2.6649899999999999E-3</v>
      </c>
      <c r="I29">
        <v>2.8171400000000001E-3</v>
      </c>
      <c r="J29">
        <v>6.6166450000000002E-2</v>
      </c>
    </row>
    <row r="30" spans="1:13" x14ac:dyDescent="0.3">
      <c r="A30">
        <v>11</v>
      </c>
      <c r="B30">
        <v>50</v>
      </c>
      <c r="C30">
        <v>5.4000000000000003E-3</v>
      </c>
      <c r="D30">
        <v>2.5980600000000001E-3</v>
      </c>
      <c r="E30">
        <v>1.0149999999999999E-5</v>
      </c>
      <c r="F30">
        <v>6.4751909999999996E-2</v>
      </c>
      <c r="G30">
        <v>2.6139700000000002E-3</v>
      </c>
      <c r="H30">
        <v>2.5821500000000001E-3</v>
      </c>
      <c r="I30">
        <v>2.7284000000000002E-3</v>
      </c>
      <c r="J30">
        <v>6.4043829999999996E-2</v>
      </c>
    </row>
    <row r="31" spans="1:13" x14ac:dyDescent="0.3">
      <c r="A31">
        <v>12</v>
      </c>
      <c r="B31">
        <v>55</v>
      </c>
      <c r="C31">
        <v>5.4000000000000003E-3</v>
      </c>
      <c r="D31">
        <v>2.18994E-3</v>
      </c>
      <c r="E31">
        <v>9.5300000000000002E-6</v>
      </c>
      <c r="F31">
        <v>6.128306E-2</v>
      </c>
      <c r="G31">
        <v>2.2024000000000002E-3</v>
      </c>
      <c r="H31">
        <v>2.1774899999999998E-3</v>
      </c>
      <c r="I31">
        <v>2.2989500000000001E-3</v>
      </c>
      <c r="J31">
        <v>5.4415709999999999E-2</v>
      </c>
    </row>
    <row r="32" spans="1:13" x14ac:dyDescent="0.3">
      <c r="A32">
        <v>13</v>
      </c>
      <c r="B32">
        <v>60</v>
      </c>
      <c r="C32">
        <v>5.4000000000000003E-3</v>
      </c>
      <c r="D32">
        <v>1.88211E-3</v>
      </c>
      <c r="E32">
        <v>7.6000000000000001E-6</v>
      </c>
      <c r="F32">
        <v>5.5308929999999999E-2</v>
      </c>
      <c r="G32">
        <v>1.89186E-3</v>
      </c>
      <c r="H32">
        <v>1.87236E-3</v>
      </c>
      <c r="I32">
        <v>1.9750100000000001E-3</v>
      </c>
      <c r="J32">
        <v>4.7920919999999999E-2</v>
      </c>
    </row>
    <row r="33" spans="1:10" x14ac:dyDescent="0.3">
      <c r="A33">
        <v>14</v>
      </c>
      <c r="B33">
        <v>65</v>
      </c>
      <c r="C33">
        <v>5.4000000000000003E-3</v>
      </c>
      <c r="D33">
        <v>2.2770400000000001E-3</v>
      </c>
      <c r="E33">
        <v>4.87E-6</v>
      </c>
      <c r="F33">
        <v>4.6444069999999997E-2</v>
      </c>
      <c r="G33">
        <v>2.2902299999999999E-3</v>
      </c>
      <c r="H33">
        <v>2.26385E-3</v>
      </c>
      <c r="I33">
        <v>2.3917299999999999E-3</v>
      </c>
      <c r="J33">
        <v>5.9099510000000001E-2</v>
      </c>
    </row>
    <row r="34" spans="1:10" x14ac:dyDescent="0.3">
      <c r="A34">
        <v>15</v>
      </c>
      <c r="B34">
        <v>70</v>
      </c>
      <c r="C34">
        <v>5.4000000000000003E-3</v>
      </c>
      <c r="D34">
        <v>2.3805699999999998E-3</v>
      </c>
      <c r="E34">
        <v>4.4800000000000003E-6</v>
      </c>
      <c r="F34">
        <v>4.2589799999999997E-2</v>
      </c>
      <c r="G34">
        <v>2.39631E-3</v>
      </c>
      <c r="H34">
        <v>2.3648300000000001E-3</v>
      </c>
      <c r="I34">
        <v>2.5036799999999999E-3</v>
      </c>
      <c r="J34">
        <v>6.2781080000000003E-2</v>
      </c>
    </row>
    <row r="35" spans="1:10" x14ac:dyDescent="0.3">
      <c r="A35">
        <v>16</v>
      </c>
      <c r="B35">
        <v>75</v>
      </c>
      <c r="C35">
        <v>4.6403299999999998E-3</v>
      </c>
      <c r="D35">
        <v>2.2075799999999998E-3</v>
      </c>
      <c r="E35">
        <v>3.4000000000000001E-6</v>
      </c>
      <c r="F35">
        <v>3.9602730000000003E-2</v>
      </c>
      <c r="G35">
        <v>2.2233299999999999E-3</v>
      </c>
      <c r="H35">
        <v>2.1918200000000001E-3</v>
      </c>
      <c r="I35">
        <v>2.3239799999999998E-3</v>
      </c>
      <c r="J35">
        <v>5.9417579999999998E-2</v>
      </c>
    </row>
    <row r="36" spans="1:10" x14ac:dyDescent="0.3">
      <c r="A36">
        <v>17</v>
      </c>
      <c r="B36">
        <v>80</v>
      </c>
      <c r="C36">
        <v>4.0267499999999999E-3</v>
      </c>
      <c r="D36">
        <v>1.76597E-3</v>
      </c>
      <c r="E36">
        <v>2.08E-6</v>
      </c>
      <c r="F36">
        <v>3.7675590000000002E-2</v>
      </c>
      <c r="G36">
        <v>1.7782E-3</v>
      </c>
      <c r="H36">
        <v>1.75373E-3</v>
      </c>
      <c r="I36">
        <v>1.8584999999999999E-3</v>
      </c>
      <c r="J36">
        <v>4.8614150000000002E-2</v>
      </c>
    </row>
    <row r="37" spans="1:10" x14ac:dyDescent="0.3">
      <c r="A37">
        <v>18</v>
      </c>
      <c r="B37">
        <v>85</v>
      </c>
      <c r="C37">
        <v>3.5244899999999999E-3</v>
      </c>
      <c r="D37">
        <v>1.4261E-3</v>
      </c>
      <c r="E37">
        <v>2.1600000000000001E-6</v>
      </c>
      <c r="F37">
        <v>3.6712019999999998E-2</v>
      </c>
      <c r="G37">
        <v>1.4328699999999999E-3</v>
      </c>
      <c r="H37">
        <v>1.41932E-3</v>
      </c>
      <c r="I37">
        <v>1.49672E-3</v>
      </c>
      <c r="J37">
        <v>4.0373909999999999E-2</v>
      </c>
    </row>
    <row r="38" spans="1:10" x14ac:dyDescent="0.3">
      <c r="A38">
        <v>19</v>
      </c>
      <c r="B38">
        <v>90</v>
      </c>
      <c r="C38">
        <v>3.10846E-3</v>
      </c>
      <c r="D38">
        <v>1.1867500000000001E-3</v>
      </c>
      <c r="E38">
        <v>1.5600000000000001E-6</v>
      </c>
      <c r="F38">
        <v>3.7386519999999999E-2</v>
      </c>
      <c r="G38">
        <v>1.19129E-3</v>
      </c>
      <c r="H38">
        <v>1.1822099999999999E-3</v>
      </c>
      <c r="I38">
        <v>1.24391E-3</v>
      </c>
      <c r="J38">
        <v>3.4460730000000002E-2</v>
      </c>
    </row>
    <row r="39" spans="1:10" x14ac:dyDescent="0.3">
      <c r="A39">
        <v>20</v>
      </c>
      <c r="B39">
        <v>95</v>
      </c>
      <c r="C39">
        <v>2.7602299999999998E-3</v>
      </c>
      <c r="D39">
        <v>1.0171799999999999E-3</v>
      </c>
      <c r="E39">
        <v>1.61E-6</v>
      </c>
      <c r="F39">
        <v>3.5363029999999997E-2</v>
      </c>
      <c r="G39">
        <v>1.02352E-3</v>
      </c>
      <c r="H39">
        <v>1.01085E-3</v>
      </c>
      <c r="I39">
        <v>1.06915E-3</v>
      </c>
      <c r="J39">
        <v>3.0270430000000001E-2</v>
      </c>
    </row>
    <row r="40" spans="1:10" x14ac:dyDescent="0.3">
      <c r="A40">
        <v>21</v>
      </c>
      <c r="B40">
        <v>100</v>
      </c>
      <c r="C40">
        <v>2.4659899999999999E-3</v>
      </c>
      <c r="D40">
        <v>8.4247E-4</v>
      </c>
      <c r="E40">
        <v>1.08E-6</v>
      </c>
      <c r="F40">
        <v>3.613388E-2</v>
      </c>
      <c r="G40">
        <v>8.4884000000000001E-4</v>
      </c>
      <c r="H40">
        <v>8.3611000000000004E-4</v>
      </c>
      <c r="I40">
        <v>8.8750000000000005E-4</v>
      </c>
      <c r="J40">
        <v>2.5328420000000001E-2</v>
      </c>
    </row>
    <row r="41" spans="1:10" x14ac:dyDescent="0.3">
      <c r="A41">
        <v>22</v>
      </c>
      <c r="B41">
        <v>105</v>
      </c>
      <c r="C41">
        <v>2.2152700000000001E-3</v>
      </c>
      <c r="D41">
        <v>8.2176000000000005E-4</v>
      </c>
      <c r="E41">
        <v>1.1400000000000001E-6</v>
      </c>
      <c r="F41">
        <v>3.4014030000000001E-2</v>
      </c>
      <c r="G41">
        <v>8.2799999999999996E-4</v>
      </c>
      <c r="H41">
        <v>8.1550999999999998E-4</v>
      </c>
      <c r="I41">
        <v>8.6719E-4</v>
      </c>
      <c r="J41">
        <v>2.4236190000000001E-2</v>
      </c>
    </row>
    <row r="42" spans="1:10" x14ac:dyDescent="0.3">
      <c r="A42">
        <v>23</v>
      </c>
      <c r="B42">
        <v>110</v>
      </c>
      <c r="C42">
        <v>2E-3</v>
      </c>
      <c r="D42">
        <v>7.4704000000000003E-4</v>
      </c>
      <c r="E42">
        <v>7.5000000000000002E-7</v>
      </c>
      <c r="F42">
        <v>3.362859E-2</v>
      </c>
      <c r="G42">
        <v>7.5173000000000004E-4</v>
      </c>
      <c r="H42">
        <v>7.4235000000000002E-4</v>
      </c>
      <c r="I42">
        <v>7.8874999999999995E-4</v>
      </c>
      <c r="J42">
        <v>2.1609380000000001E-2</v>
      </c>
    </row>
    <row r="43" spans="1:10" x14ac:dyDescent="0.3">
      <c r="A43">
        <v>24</v>
      </c>
      <c r="B43">
        <v>115</v>
      </c>
      <c r="C43">
        <v>2E-3</v>
      </c>
      <c r="D43">
        <v>9.3059999999999996E-4</v>
      </c>
      <c r="E43">
        <v>1.17E-6</v>
      </c>
      <c r="F43">
        <v>3.2665029999999998E-2</v>
      </c>
      <c r="G43">
        <v>9.3555999999999999E-4</v>
      </c>
      <c r="H43">
        <v>9.2564999999999998E-4</v>
      </c>
      <c r="I43">
        <v>9.8166000000000008E-4</v>
      </c>
      <c r="J43">
        <v>2.765275E-2</v>
      </c>
    </row>
    <row r="44" spans="1:10" x14ac:dyDescent="0.3">
      <c r="A44">
        <v>25</v>
      </c>
      <c r="B44">
        <v>120</v>
      </c>
      <c r="C44">
        <v>2E-3</v>
      </c>
      <c r="D44">
        <v>8.1096E-4</v>
      </c>
      <c r="E44">
        <v>7.8000000000000005E-7</v>
      </c>
      <c r="F44">
        <v>3.3339529999999999E-2</v>
      </c>
      <c r="G44">
        <v>8.1441E-4</v>
      </c>
      <c r="H44">
        <v>8.0751E-4</v>
      </c>
      <c r="I44">
        <v>8.5417000000000002E-4</v>
      </c>
      <c r="J44">
        <v>2.502948E-2</v>
      </c>
    </row>
    <row r="45" spans="1:10" x14ac:dyDescent="0.3">
      <c r="A45">
        <v>26</v>
      </c>
      <c r="B45">
        <v>125</v>
      </c>
      <c r="C45">
        <v>2E-3</v>
      </c>
      <c r="D45">
        <v>7.2897000000000001E-4</v>
      </c>
      <c r="E45">
        <v>7.8000000000000005E-7</v>
      </c>
      <c r="F45">
        <v>3.3724949999999997E-2</v>
      </c>
      <c r="G45">
        <v>7.3335000000000002E-4</v>
      </c>
      <c r="H45">
        <v>7.2459E-4</v>
      </c>
      <c r="I45">
        <v>7.6920999999999999E-4</v>
      </c>
      <c r="J45">
        <v>2.3009700000000001E-2</v>
      </c>
    </row>
    <row r="46" spans="1:10" x14ac:dyDescent="0.3">
      <c r="A46">
        <v>27</v>
      </c>
      <c r="B46">
        <v>130</v>
      </c>
      <c r="C46">
        <v>2E-3</v>
      </c>
      <c r="D46">
        <v>6.8097000000000003E-4</v>
      </c>
      <c r="E46">
        <v>9.5999999999999991E-7</v>
      </c>
      <c r="F46">
        <v>3.2857740000000003E-2</v>
      </c>
      <c r="G46">
        <v>6.8583000000000001E-4</v>
      </c>
      <c r="H46">
        <v>6.7612E-4</v>
      </c>
      <c r="I46">
        <v>7.1955000000000001E-4</v>
      </c>
      <c r="J46">
        <v>2.1957890000000001E-2</v>
      </c>
    </row>
    <row r="47" spans="1:10" x14ac:dyDescent="0.3">
      <c r="A47">
        <v>28</v>
      </c>
      <c r="B47">
        <v>135</v>
      </c>
      <c r="C47">
        <v>2E-3</v>
      </c>
      <c r="D47">
        <v>6.1149999999999996E-4</v>
      </c>
      <c r="E47">
        <v>6.9999999999999997E-7</v>
      </c>
      <c r="F47">
        <v>3.4206739999999999E-2</v>
      </c>
      <c r="G47">
        <v>6.1607999999999997E-4</v>
      </c>
      <c r="H47">
        <v>6.0692999999999999E-4</v>
      </c>
      <c r="I47">
        <v>6.4639999999999999E-4</v>
      </c>
      <c r="J47">
        <v>2.044265E-2</v>
      </c>
    </row>
    <row r="48" spans="1:10" x14ac:dyDescent="0.3">
      <c r="A48">
        <v>29</v>
      </c>
      <c r="B48">
        <v>140</v>
      </c>
      <c r="C48">
        <v>2E-3</v>
      </c>
      <c r="D48">
        <v>6.7113999999999997E-4</v>
      </c>
      <c r="E48">
        <v>9.7999999999999993E-7</v>
      </c>
      <c r="F48">
        <v>3.4495810000000002E-2</v>
      </c>
      <c r="G48">
        <v>6.7644999999999999E-4</v>
      </c>
      <c r="H48">
        <v>6.6582999999999996E-4</v>
      </c>
      <c r="I48">
        <v>7.0976999999999998E-4</v>
      </c>
      <c r="J48">
        <v>2.3234210000000002E-2</v>
      </c>
    </row>
    <row r="49" spans="1:10" x14ac:dyDescent="0.3">
      <c r="A49">
        <v>30</v>
      </c>
      <c r="B49">
        <v>145</v>
      </c>
      <c r="C49">
        <v>2E-3</v>
      </c>
      <c r="D49">
        <v>6.6317999999999998E-4</v>
      </c>
      <c r="E49">
        <v>7.4000000000000001E-7</v>
      </c>
      <c r="F49">
        <v>3.4592169999999998E-2</v>
      </c>
      <c r="G49">
        <v>6.6843999999999996E-4</v>
      </c>
      <c r="H49">
        <v>6.5791999999999999E-4</v>
      </c>
      <c r="I49">
        <v>7.0204999999999996E-4</v>
      </c>
      <c r="J49">
        <v>2.3510779999999998E-2</v>
      </c>
    </row>
    <row r="50" spans="1:10" x14ac:dyDescent="0.3">
      <c r="A50">
        <v>31</v>
      </c>
      <c r="B50">
        <v>150</v>
      </c>
      <c r="C50">
        <v>2E-3</v>
      </c>
      <c r="D50">
        <v>6.2754E-4</v>
      </c>
      <c r="E50">
        <v>6.3E-7</v>
      </c>
      <c r="F50">
        <v>3.3146809999999999E-2</v>
      </c>
      <c r="G50">
        <v>6.3294000000000002E-4</v>
      </c>
      <c r="H50">
        <v>6.2213999999999998E-4</v>
      </c>
      <c r="I50">
        <v>6.6421999999999998E-4</v>
      </c>
      <c r="J50">
        <v>2.2896119999999999E-2</v>
      </c>
    </row>
    <row r="51" spans="1:10" x14ac:dyDescent="0.3">
      <c r="A51">
        <v>32</v>
      </c>
      <c r="B51">
        <v>155</v>
      </c>
      <c r="C51">
        <v>2E-3</v>
      </c>
      <c r="D51">
        <v>6.2695000000000003E-4</v>
      </c>
      <c r="E51">
        <v>8.1999999999999998E-7</v>
      </c>
      <c r="F51">
        <v>3.3146809999999999E-2</v>
      </c>
      <c r="G51">
        <v>6.3267E-4</v>
      </c>
      <c r="H51">
        <v>6.2122000000000002E-4</v>
      </c>
      <c r="I51">
        <v>6.6410999999999998E-4</v>
      </c>
      <c r="J51">
        <v>2.3730580000000001E-2</v>
      </c>
    </row>
    <row r="52" spans="1:10" x14ac:dyDescent="0.3">
      <c r="A52">
        <v>33</v>
      </c>
      <c r="B52">
        <v>160</v>
      </c>
      <c r="C52">
        <v>2E-3</v>
      </c>
      <c r="D52">
        <v>5.8834999999999996E-4</v>
      </c>
      <c r="E52">
        <v>6.7999999999999995E-7</v>
      </c>
      <c r="F52">
        <v>3.613388E-2</v>
      </c>
      <c r="G52">
        <v>5.9391999999999995E-4</v>
      </c>
      <c r="H52">
        <v>5.8277000000000003E-4</v>
      </c>
      <c r="I52">
        <v>6.2354000000000001E-4</v>
      </c>
      <c r="J52">
        <v>2.3242180000000001E-2</v>
      </c>
    </row>
    <row r="53" spans="1:10" x14ac:dyDescent="0.3">
      <c r="A53">
        <v>34</v>
      </c>
      <c r="B53">
        <v>165</v>
      </c>
      <c r="C53">
        <v>2E-3</v>
      </c>
      <c r="D53">
        <v>6.3095999999999996E-4</v>
      </c>
      <c r="E53">
        <v>7.9999999999999996E-7</v>
      </c>
      <c r="F53">
        <v>3.382131E-2</v>
      </c>
      <c r="G53">
        <v>6.3725999999999995E-4</v>
      </c>
      <c r="H53">
        <v>6.2465999999999997E-4</v>
      </c>
      <c r="I53">
        <v>6.6912999999999999E-4</v>
      </c>
      <c r="J53">
        <v>2.604331E-2</v>
      </c>
    </row>
    <row r="54" spans="1:10" x14ac:dyDescent="0.3">
      <c r="A54">
        <v>35</v>
      </c>
      <c r="B54">
        <v>170</v>
      </c>
      <c r="C54">
        <v>2E-3</v>
      </c>
      <c r="D54">
        <v>5.2986999999999999E-4</v>
      </c>
      <c r="E54">
        <v>5.2E-7</v>
      </c>
      <c r="F54">
        <v>3.2183240000000002E-2</v>
      </c>
      <c r="G54">
        <v>5.3541000000000005E-4</v>
      </c>
      <c r="H54">
        <v>5.2433999999999998E-4</v>
      </c>
      <c r="I54">
        <v>5.6223000000000004E-4</v>
      </c>
      <c r="J54">
        <v>2.2610020000000002E-2</v>
      </c>
    </row>
    <row r="55" spans="1:10" x14ac:dyDescent="0.3">
      <c r="A55">
        <v>36</v>
      </c>
      <c r="B55">
        <v>175</v>
      </c>
      <c r="C55">
        <v>2E-3</v>
      </c>
      <c r="D55">
        <v>4.8445999999999998E-4</v>
      </c>
      <c r="E55">
        <v>4.9999999999999998E-7</v>
      </c>
      <c r="F55">
        <v>3.1990530000000003E-2</v>
      </c>
      <c r="G55">
        <v>4.8956E-4</v>
      </c>
      <c r="H55">
        <v>4.7936000000000002E-4</v>
      </c>
      <c r="I55">
        <v>5.1422000000000002E-4</v>
      </c>
      <c r="J55">
        <v>2.139423E-2</v>
      </c>
    </row>
    <row r="56" spans="1:10" x14ac:dyDescent="0.3">
      <c r="A56">
        <v>37</v>
      </c>
      <c r="B56">
        <v>180</v>
      </c>
      <c r="C56">
        <v>2E-3</v>
      </c>
      <c r="D56">
        <v>5.6512999999999995E-4</v>
      </c>
      <c r="E56">
        <v>5.5000000000000003E-7</v>
      </c>
      <c r="F56">
        <v>3.0834250000000001E-2</v>
      </c>
      <c r="G56">
        <v>5.7138000000000002E-4</v>
      </c>
      <c r="H56">
        <v>5.5887999999999999E-4</v>
      </c>
      <c r="I56">
        <v>6.0022000000000005E-4</v>
      </c>
      <c r="J56">
        <v>2.5540650000000002E-2</v>
      </c>
    </row>
    <row r="57" spans="1:10" x14ac:dyDescent="0.3">
      <c r="A57">
        <v>38</v>
      </c>
      <c r="B57">
        <v>185</v>
      </c>
      <c r="C57">
        <v>1.93764E-3</v>
      </c>
      <c r="D57">
        <v>4.2506E-4</v>
      </c>
      <c r="E57">
        <v>5.9999999999999997E-7</v>
      </c>
      <c r="F57">
        <v>3.4592169999999998E-2</v>
      </c>
      <c r="G57">
        <v>4.2977E-4</v>
      </c>
      <c r="H57">
        <v>4.2034E-4</v>
      </c>
      <c r="I57">
        <v>4.5146999999999999E-4</v>
      </c>
      <c r="J57">
        <v>1.970827E-2</v>
      </c>
    </row>
    <row r="58" spans="1:10" x14ac:dyDescent="0.3">
      <c r="A58">
        <v>39</v>
      </c>
      <c r="B58">
        <v>190</v>
      </c>
      <c r="C58">
        <v>1.8788100000000001E-3</v>
      </c>
      <c r="D58">
        <v>4.6570999999999998E-4</v>
      </c>
      <c r="E58">
        <v>6.4000000000000001E-7</v>
      </c>
      <c r="F58">
        <v>3.4881240000000001E-2</v>
      </c>
      <c r="G58">
        <v>4.7093999999999999E-4</v>
      </c>
      <c r="H58">
        <v>4.6047999999999998E-4</v>
      </c>
      <c r="I58">
        <v>4.9476999999999995E-4</v>
      </c>
      <c r="J58">
        <v>2.2122409999999999E-2</v>
      </c>
    </row>
    <row r="59" spans="1:10" x14ac:dyDescent="0.3">
      <c r="A59">
        <v>40</v>
      </c>
      <c r="B59">
        <v>195</v>
      </c>
      <c r="C59">
        <v>1.82322E-3</v>
      </c>
      <c r="D59">
        <v>4.5271999999999999E-4</v>
      </c>
      <c r="E59">
        <v>5.7999999999999995E-7</v>
      </c>
      <c r="F59">
        <v>3.468852E-2</v>
      </c>
      <c r="G59">
        <v>4.5766999999999997E-4</v>
      </c>
      <c r="H59">
        <v>4.4777E-4</v>
      </c>
      <c r="I59">
        <v>4.8073000000000001E-4</v>
      </c>
      <c r="J59">
        <v>2.2008880000000001E-2</v>
      </c>
    </row>
    <row r="60" spans="1:10" x14ac:dyDescent="0.3">
      <c r="A60">
        <v>41</v>
      </c>
      <c r="B60">
        <v>200</v>
      </c>
      <c r="C60">
        <v>1.77063E-3</v>
      </c>
      <c r="D60">
        <v>4.1750000000000001E-4</v>
      </c>
      <c r="E60">
        <v>5.4000000000000002E-7</v>
      </c>
      <c r="F60">
        <v>3.6326589999999999E-2</v>
      </c>
      <c r="G60">
        <v>4.2202E-4</v>
      </c>
      <c r="H60">
        <v>4.1298000000000002E-4</v>
      </c>
      <c r="I60">
        <v>4.4321999999999997E-4</v>
      </c>
      <c r="J60">
        <v>2.0999509999999999E-2</v>
      </c>
    </row>
    <row r="61" spans="1:10" x14ac:dyDescent="0.3">
      <c r="A61">
        <v>42</v>
      </c>
      <c r="B61">
        <v>205</v>
      </c>
      <c r="C61">
        <v>1.72079E-3</v>
      </c>
      <c r="D61">
        <v>4.1472999999999998E-4</v>
      </c>
      <c r="E61">
        <v>6.0999999999999998E-7</v>
      </c>
      <c r="F61">
        <v>3.7964659999999997E-2</v>
      </c>
      <c r="G61">
        <v>4.1911999999999999E-4</v>
      </c>
      <c r="H61">
        <v>4.1033999999999998E-4</v>
      </c>
      <c r="I61">
        <v>4.4013E-4</v>
      </c>
      <c r="J61">
        <v>2.1760979999999999E-2</v>
      </c>
    </row>
    <row r="62" spans="1:10" x14ac:dyDescent="0.3">
      <c r="A62">
        <v>43</v>
      </c>
      <c r="B62">
        <v>210</v>
      </c>
      <c r="C62">
        <v>1.67351E-3</v>
      </c>
      <c r="D62">
        <v>4.1257000000000002E-4</v>
      </c>
      <c r="E62">
        <v>5.7999999999999995E-7</v>
      </c>
      <c r="F62">
        <v>3.8350090000000003E-2</v>
      </c>
      <c r="G62">
        <v>4.1697000000000001E-4</v>
      </c>
      <c r="H62">
        <v>4.0816000000000002E-4</v>
      </c>
      <c r="I62">
        <v>4.3786999999999998E-4</v>
      </c>
      <c r="J62">
        <v>2.2630170000000002E-2</v>
      </c>
    </row>
    <row r="63" spans="1:10" x14ac:dyDescent="0.3">
      <c r="A63">
        <v>44</v>
      </c>
      <c r="B63">
        <v>215</v>
      </c>
      <c r="C63">
        <v>1.6286E-3</v>
      </c>
      <c r="D63">
        <v>3.7353000000000001E-4</v>
      </c>
      <c r="E63">
        <v>5.3000000000000001E-7</v>
      </c>
      <c r="F63">
        <v>3.931366E-2</v>
      </c>
      <c r="G63">
        <v>3.7764999999999999E-4</v>
      </c>
      <c r="H63">
        <v>3.6942000000000002E-4</v>
      </c>
      <c r="I63">
        <v>3.9662999999999998E-4</v>
      </c>
      <c r="J63">
        <v>2.1453920000000001E-2</v>
      </c>
    </row>
    <row r="64" spans="1:10" x14ac:dyDescent="0.3">
      <c r="A64">
        <v>45</v>
      </c>
      <c r="B64">
        <v>220</v>
      </c>
      <c r="C64">
        <v>1.58588E-3</v>
      </c>
      <c r="D64">
        <v>3.6468999999999998E-4</v>
      </c>
      <c r="E64">
        <v>6.7000000000000004E-7</v>
      </c>
      <c r="F64">
        <v>4.0084519999999998E-2</v>
      </c>
      <c r="G64">
        <v>3.6896999999999999E-4</v>
      </c>
      <c r="H64">
        <v>3.6039999999999998E-4</v>
      </c>
      <c r="I64">
        <v>3.8748999999999999E-4</v>
      </c>
      <c r="J64">
        <v>2.2045740000000001E-2</v>
      </c>
    </row>
    <row r="65" spans="1:10" x14ac:dyDescent="0.3">
      <c r="A65">
        <v>46</v>
      </c>
      <c r="B65">
        <v>225</v>
      </c>
      <c r="C65">
        <v>1.54521E-3</v>
      </c>
      <c r="D65">
        <v>3.3986999999999998E-4</v>
      </c>
      <c r="E65">
        <v>4.4000000000000002E-7</v>
      </c>
      <c r="F65">
        <v>3.8542809999999997E-2</v>
      </c>
      <c r="G65">
        <v>3.4408000000000003E-4</v>
      </c>
      <c r="H65">
        <v>3.3565E-4</v>
      </c>
      <c r="I65">
        <v>3.6144999999999998E-4</v>
      </c>
      <c r="J65">
        <v>2.1900800000000002E-2</v>
      </c>
    </row>
    <row r="66" spans="1:10" x14ac:dyDescent="0.3">
      <c r="A66">
        <v>47</v>
      </c>
      <c r="B66">
        <v>230</v>
      </c>
      <c r="C66">
        <v>1.5064399999999999E-3</v>
      </c>
      <c r="D66">
        <v>3.0578000000000002E-4</v>
      </c>
      <c r="E66">
        <v>4.7E-7</v>
      </c>
      <c r="F66">
        <v>3.8061020000000001E-2</v>
      </c>
      <c r="G66">
        <v>3.0966000000000001E-4</v>
      </c>
      <c r="H66">
        <v>3.0191000000000001E-4</v>
      </c>
      <c r="I66">
        <v>3.2538000000000001E-4</v>
      </c>
      <c r="J66">
        <v>2.1044429999999999E-2</v>
      </c>
    </row>
    <row r="67" spans="1:10" x14ac:dyDescent="0.3">
      <c r="A67">
        <v>48</v>
      </c>
      <c r="B67">
        <v>235</v>
      </c>
      <c r="C67">
        <v>1.46944E-3</v>
      </c>
      <c r="D67">
        <v>2.4672000000000002E-4</v>
      </c>
      <c r="E67">
        <v>4.2E-7</v>
      </c>
      <c r="F67">
        <v>4.0469949999999998E-2</v>
      </c>
      <c r="G67">
        <v>2.5007000000000002E-4</v>
      </c>
      <c r="H67">
        <v>2.4337E-4</v>
      </c>
      <c r="I67">
        <v>2.6286000000000001E-4</v>
      </c>
      <c r="J67">
        <v>1.8248420000000001E-2</v>
      </c>
    </row>
    <row r="68" spans="1:10" x14ac:dyDescent="0.3">
      <c r="A68">
        <v>49</v>
      </c>
      <c r="B68">
        <v>240</v>
      </c>
      <c r="C68">
        <v>1.4341099999999999E-3</v>
      </c>
      <c r="D68">
        <v>2.2791E-4</v>
      </c>
      <c r="E68">
        <v>3.1E-7</v>
      </c>
      <c r="F68">
        <v>4.0855370000000002E-2</v>
      </c>
      <c r="G68">
        <v>2.3086E-4</v>
      </c>
      <c r="H68">
        <v>2.2495999999999999E-4</v>
      </c>
      <c r="I68">
        <v>2.4277000000000001E-4</v>
      </c>
      <c r="J68">
        <v>1.8180829999999999E-2</v>
      </c>
    </row>
    <row r="69" spans="1:10" x14ac:dyDescent="0.3">
      <c r="A69">
        <v>50</v>
      </c>
      <c r="B69">
        <v>245</v>
      </c>
      <c r="C69">
        <v>1.40032E-3</v>
      </c>
      <c r="D69">
        <v>2.0097E-4</v>
      </c>
      <c r="E69">
        <v>5.2E-7</v>
      </c>
      <c r="F69">
        <v>4.3360650000000001E-2</v>
      </c>
      <c r="G69">
        <v>2.0389E-4</v>
      </c>
      <c r="H69">
        <v>1.9804999999999999E-4</v>
      </c>
      <c r="I69">
        <v>2.1431999999999999E-4</v>
      </c>
      <c r="J69">
        <v>1.7109599999999999E-2</v>
      </c>
    </row>
    <row r="70" spans="1:10" x14ac:dyDescent="0.3">
      <c r="A70">
        <v>51</v>
      </c>
      <c r="B70">
        <v>250</v>
      </c>
      <c r="C70">
        <v>1.3680000000000001E-3</v>
      </c>
      <c r="D70">
        <v>2.1091999999999999E-4</v>
      </c>
      <c r="E70">
        <v>3.3999999999999997E-7</v>
      </c>
      <c r="F70">
        <v>4.1818939999999999E-2</v>
      </c>
      <c r="G70">
        <v>2.1413000000000001E-4</v>
      </c>
      <c r="H70">
        <v>2.0772E-4</v>
      </c>
      <c r="I70">
        <v>2.2505999999999999E-4</v>
      </c>
      <c r="J70">
        <v>1.9102310000000001E-2</v>
      </c>
    </row>
    <row r="71" spans="1:10" x14ac:dyDescent="0.3">
      <c r="A71">
        <v>52</v>
      </c>
      <c r="B71">
        <v>255</v>
      </c>
      <c r="C71">
        <v>1.3370299999999999E-3</v>
      </c>
      <c r="D71">
        <v>2.1872999999999999E-4</v>
      </c>
      <c r="E71">
        <v>3.5999999999999999E-7</v>
      </c>
      <c r="F71">
        <v>4.0759009999999998E-2</v>
      </c>
      <c r="G71">
        <v>2.2222E-4</v>
      </c>
      <c r="H71">
        <v>2.1523000000000001E-4</v>
      </c>
      <c r="I71">
        <v>2.3361000000000001E-4</v>
      </c>
      <c r="J71">
        <v>2.102153E-2</v>
      </c>
    </row>
    <row r="72" spans="1:10" x14ac:dyDescent="0.3">
      <c r="A72">
        <v>53</v>
      </c>
      <c r="B72">
        <v>260</v>
      </c>
      <c r="C72">
        <v>1.3073500000000001E-3</v>
      </c>
      <c r="D72">
        <v>2.0625999999999999E-4</v>
      </c>
      <c r="E72">
        <v>2.8999999999999998E-7</v>
      </c>
      <c r="F72">
        <v>4.3167949999999997E-2</v>
      </c>
      <c r="G72">
        <v>2.0966999999999999E-4</v>
      </c>
      <c r="H72">
        <v>2.0285E-4</v>
      </c>
      <c r="I72">
        <v>2.2049E-4</v>
      </c>
      <c r="J72">
        <v>2.0963240000000001E-2</v>
      </c>
    </row>
    <row r="73" spans="1:10" x14ac:dyDescent="0.3">
      <c r="A73">
        <v>54</v>
      </c>
      <c r="B73">
        <v>265</v>
      </c>
      <c r="C73">
        <v>1.2788700000000001E-3</v>
      </c>
      <c r="D73">
        <v>1.9704E-4</v>
      </c>
      <c r="E73">
        <v>4.4000000000000002E-7</v>
      </c>
      <c r="F73">
        <v>4.5962290000000003E-2</v>
      </c>
      <c r="G73">
        <v>2.0039E-4</v>
      </c>
      <c r="H73">
        <v>1.9369999999999999E-4</v>
      </c>
      <c r="I73">
        <v>2.1076999999999999E-4</v>
      </c>
      <c r="J73">
        <v>2.1361649999999999E-2</v>
      </c>
    </row>
    <row r="74" spans="1:10" x14ac:dyDescent="0.3">
      <c r="A74">
        <v>55</v>
      </c>
      <c r="B74">
        <v>270</v>
      </c>
      <c r="C74">
        <v>1.25153E-3</v>
      </c>
      <c r="D74">
        <v>1.6314000000000001E-4</v>
      </c>
      <c r="E74">
        <v>3.3999999999999997E-7</v>
      </c>
      <c r="F74">
        <v>4.5769579999999997E-2</v>
      </c>
      <c r="G74">
        <v>1.6602000000000001E-4</v>
      </c>
      <c r="H74">
        <v>1.6025999999999999E-4</v>
      </c>
      <c r="I74">
        <v>1.7463E-4</v>
      </c>
      <c r="J74">
        <v>1.855979E-2</v>
      </c>
    </row>
    <row r="75" spans="1:10" x14ac:dyDescent="0.3">
      <c r="A75">
        <v>56</v>
      </c>
      <c r="B75">
        <v>275</v>
      </c>
      <c r="C75">
        <v>1.2252599999999999E-3</v>
      </c>
      <c r="D75">
        <v>1.3855000000000001E-4</v>
      </c>
      <c r="E75">
        <v>2.7000000000000001E-7</v>
      </c>
      <c r="F75">
        <v>4.6155000000000002E-2</v>
      </c>
      <c r="G75">
        <v>1.4114999999999999E-4</v>
      </c>
      <c r="H75">
        <v>1.3595999999999999E-4</v>
      </c>
      <c r="I75">
        <v>1.4852999999999999E-4</v>
      </c>
      <c r="J75">
        <v>1.7525200000000001E-2</v>
      </c>
    </row>
    <row r="76" spans="1:10" x14ac:dyDescent="0.3">
      <c r="A76">
        <v>57</v>
      </c>
      <c r="B76">
        <v>280</v>
      </c>
      <c r="C76">
        <v>1.1999999999999999E-3</v>
      </c>
      <c r="D76">
        <v>1.3134999999999999E-4</v>
      </c>
      <c r="E76">
        <v>3.1E-7</v>
      </c>
      <c r="F76">
        <v>4.8949369999999999E-2</v>
      </c>
      <c r="G76">
        <v>1.3397999999999999E-4</v>
      </c>
      <c r="H76">
        <v>1.2871000000000001E-4</v>
      </c>
      <c r="I76">
        <v>1.4100000000000001E-4</v>
      </c>
      <c r="J76">
        <v>1.9570379999999998E-2</v>
      </c>
    </row>
    <row r="77" spans="1:10" x14ac:dyDescent="0.3">
      <c r="A77">
        <v>58</v>
      </c>
      <c r="B77">
        <v>285</v>
      </c>
      <c r="C77">
        <v>1.1191300000000001E-3</v>
      </c>
      <c r="D77">
        <v>1.0503E-4</v>
      </c>
      <c r="E77">
        <v>2.4999999999999999E-7</v>
      </c>
      <c r="F77">
        <v>5.0105650000000002E-2</v>
      </c>
      <c r="G77">
        <v>1.0724E-4</v>
      </c>
      <c r="H77">
        <v>1.0281999999999999E-4</v>
      </c>
      <c r="I77">
        <v>1.1284E-4</v>
      </c>
      <c r="J77">
        <v>1.8679939999999999E-2</v>
      </c>
    </row>
    <row r="78" spans="1:10" x14ac:dyDescent="0.3">
      <c r="A78">
        <v>59</v>
      </c>
      <c r="B78">
        <v>290</v>
      </c>
      <c r="C78">
        <v>1.04498E-3</v>
      </c>
      <c r="D78">
        <v>6.7260000000000003E-5</v>
      </c>
      <c r="E78">
        <v>1.9000000000000001E-7</v>
      </c>
      <c r="F78">
        <v>5.0683789999999999E-2</v>
      </c>
      <c r="G78">
        <v>6.8730000000000001E-5</v>
      </c>
      <c r="H78">
        <v>6.5790000000000005E-5</v>
      </c>
      <c r="I78">
        <v>7.237E-5</v>
      </c>
      <c r="J78">
        <v>1.434681E-2</v>
      </c>
    </row>
    <row r="79" spans="1:10" x14ac:dyDescent="0.3">
      <c r="A79">
        <v>60</v>
      </c>
      <c r="B79">
        <v>295</v>
      </c>
      <c r="C79">
        <v>9.7689000000000001E-4</v>
      </c>
      <c r="D79">
        <v>4.986E-5</v>
      </c>
      <c r="E79">
        <v>1.4999999999999999E-7</v>
      </c>
      <c r="F79">
        <v>5.5694359999999998E-2</v>
      </c>
      <c r="G79">
        <v>5.1029999999999998E-5</v>
      </c>
      <c r="H79">
        <v>4.8680000000000001E-5</v>
      </c>
      <c r="I79">
        <v>5.3730000000000002E-5</v>
      </c>
      <c r="J79">
        <v>1.306852E-2</v>
      </c>
    </row>
    <row r="80" spans="1:10" x14ac:dyDescent="0.3">
      <c r="A80">
        <v>61</v>
      </c>
      <c r="B80">
        <v>300</v>
      </c>
      <c r="C80">
        <v>9.1427000000000001E-4</v>
      </c>
      <c r="D80">
        <v>4.422E-5</v>
      </c>
      <c r="E80">
        <v>1.6999999999999999E-7</v>
      </c>
      <c r="F80">
        <v>5.9355930000000001E-2</v>
      </c>
      <c r="G80">
        <v>4.5189999999999999E-5</v>
      </c>
      <c r="H80">
        <v>4.3239999999999999E-5</v>
      </c>
      <c r="I80">
        <v>4.761E-5</v>
      </c>
      <c r="J80">
        <v>1.361422E-2</v>
      </c>
    </row>
    <row r="81" spans="1:10" x14ac:dyDescent="0.3">
      <c r="A81">
        <v>62</v>
      </c>
      <c r="B81">
        <v>305</v>
      </c>
      <c r="C81">
        <v>8.566E-4</v>
      </c>
      <c r="D81">
        <v>4.4029999999999997E-5</v>
      </c>
      <c r="E81">
        <v>1.4000000000000001E-7</v>
      </c>
      <c r="F81">
        <v>5.7814200000000003E-2</v>
      </c>
      <c r="G81">
        <v>4.498E-5</v>
      </c>
      <c r="H81">
        <v>4.3080000000000001E-5</v>
      </c>
      <c r="I81">
        <v>4.7370000000000002E-5</v>
      </c>
      <c r="J81">
        <v>1.4957979999999999E-2</v>
      </c>
    </row>
    <row r="82" spans="1:10" x14ac:dyDescent="0.3">
      <c r="A82">
        <v>63</v>
      </c>
      <c r="B82">
        <v>310</v>
      </c>
      <c r="C82">
        <v>8.0342E-4</v>
      </c>
      <c r="D82">
        <v>4.2079999999999997E-5</v>
      </c>
      <c r="E82">
        <v>8.9999999999999999E-8</v>
      </c>
      <c r="F82">
        <v>5.0105650000000002E-2</v>
      </c>
      <c r="G82">
        <v>4.2969999999999997E-5</v>
      </c>
      <c r="H82">
        <v>4.1189999999999997E-5</v>
      </c>
      <c r="I82">
        <v>4.5229999999999999E-5</v>
      </c>
      <c r="J82">
        <v>1.4634599999999999E-2</v>
      </c>
    </row>
    <row r="83" spans="1:10" x14ac:dyDescent="0.3">
      <c r="A83">
        <v>64</v>
      </c>
      <c r="B83">
        <v>315</v>
      </c>
      <c r="C83">
        <v>7.5431000000000001E-4</v>
      </c>
      <c r="D83">
        <v>4.6459999999999999E-5</v>
      </c>
      <c r="E83">
        <v>8.0000000000000002E-8</v>
      </c>
      <c r="F83">
        <v>4.7696719999999998E-2</v>
      </c>
      <c r="G83">
        <v>4.74E-5</v>
      </c>
      <c r="H83">
        <v>4.5510000000000003E-5</v>
      </c>
      <c r="I83">
        <v>4.9839999999999997E-5</v>
      </c>
      <c r="J83">
        <v>1.514888E-2</v>
      </c>
    </row>
    <row r="84" spans="1:10" x14ac:dyDescent="0.3">
      <c r="A84">
        <v>65</v>
      </c>
      <c r="B84">
        <v>320</v>
      </c>
      <c r="C84">
        <v>7.0890999999999999E-4</v>
      </c>
      <c r="D84">
        <v>4.2190000000000001E-5</v>
      </c>
      <c r="E84">
        <v>1.1999999999999999E-7</v>
      </c>
      <c r="F84">
        <v>5.0105650000000002E-2</v>
      </c>
      <c r="G84">
        <v>4.3019999999999998E-5</v>
      </c>
      <c r="H84">
        <v>4.1359999999999997E-5</v>
      </c>
      <c r="I84">
        <v>4.5179999999999998E-5</v>
      </c>
      <c r="J84">
        <v>1.257399E-2</v>
      </c>
    </row>
    <row r="85" spans="1:10" x14ac:dyDescent="0.3">
      <c r="A85">
        <v>66</v>
      </c>
      <c r="B85">
        <v>325</v>
      </c>
      <c r="C85">
        <v>6.6688999999999995E-4</v>
      </c>
      <c r="D85">
        <v>3.3930000000000002E-5</v>
      </c>
      <c r="E85">
        <v>7.0000000000000005E-8</v>
      </c>
      <c r="F85">
        <v>4.7696719999999998E-2</v>
      </c>
      <c r="G85">
        <v>3.4520000000000002E-5</v>
      </c>
      <c r="H85">
        <v>3.3340000000000003E-5</v>
      </c>
      <c r="I85">
        <v>3.6239999999999999E-5</v>
      </c>
      <c r="J85">
        <v>8.7959400000000004E-3</v>
      </c>
    </row>
    <row r="86" spans="1:10" x14ac:dyDescent="0.3">
      <c r="A86">
        <v>67</v>
      </c>
      <c r="B86">
        <v>330</v>
      </c>
      <c r="C86">
        <v>6.2794000000000001E-4</v>
      </c>
      <c r="D86">
        <v>4.7979999999999998E-5</v>
      </c>
      <c r="E86">
        <v>1.1000000000000001E-7</v>
      </c>
      <c r="F86">
        <v>4.4420580000000001E-2</v>
      </c>
      <c r="G86">
        <v>4.8760000000000001E-5</v>
      </c>
      <c r="H86">
        <v>4.7190000000000001E-5</v>
      </c>
      <c r="I86">
        <v>5.1230000000000002E-5</v>
      </c>
      <c r="J86">
        <v>1.0995309999999999E-2</v>
      </c>
    </row>
    <row r="87" spans="1:10" x14ac:dyDescent="0.3">
      <c r="A87">
        <v>68</v>
      </c>
      <c r="B87">
        <v>335</v>
      </c>
      <c r="C87">
        <v>5.9179999999999996E-4</v>
      </c>
      <c r="D87">
        <v>4.9780000000000001E-5</v>
      </c>
      <c r="E87">
        <v>8.9999999999999999E-8</v>
      </c>
      <c r="F87">
        <v>4.3746090000000001E-2</v>
      </c>
      <c r="G87">
        <v>5.062E-5</v>
      </c>
      <c r="H87">
        <v>4.8930000000000001E-5</v>
      </c>
      <c r="I87">
        <v>5.3199999999999999E-5</v>
      </c>
      <c r="J87">
        <v>1.0679350000000001E-2</v>
      </c>
    </row>
    <row r="88" spans="1:10" x14ac:dyDescent="0.3">
      <c r="A88">
        <v>69</v>
      </c>
      <c r="B88">
        <v>340</v>
      </c>
      <c r="C88">
        <v>5.5822999999999995E-4</v>
      </c>
      <c r="D88">
        <v>4.5540000000000001E-5</v>
      </c>
      <c r="E88">
        <v>7.0000000000000005E-8</v>
      </c>
      <c r="F88">
        <v>4.0855370000000002E-2</v>
      </c>
      <c r="G88">
        <v>4.6319999999999997E-5</v>
      </c>
      <c r="H88">
        <v>4.4749999999999997E-5</v>
      </c>
      <c r="I88">
        <v>4.867E-5</v>
      </c>
      <c r="J88">
        <v>9.4706800000000004E-3</v>
      </c>
    </row>
    <row r="89" spans="1:10" x14ac:dyDescent="0.3">
      <c r="A89">
        <v>70</v>
      </c>
      <c r="B89">
        <v>345</v>
      </c>
      <c r="C89">
        <v>5.2700999999999996E-4</v>
      </c>
      <c r="D89">
        <v>3.7119999999999997E-5</v>
      </c>
      <c r="E89">
        <v>7.0000000000000005E-8</v>
      </c>
      <c r="F89">
        <v>4.1337159999999998E-2</v>
      </c>
      <c r="G89">
        <v>3.7759999999999998E-5</v>
      </c>
      <c r="H89">
        <v>3.6480000000000003E-5</v>
      </c>
      <c r="I89">
        <v>3.968E-5</v>
      </c>
      <c r="J89">
        <v>7.7344500000000004E-3</v>
      </c>
    </row>
    <row r="90" spans="1:10" x14ac:dyDescent="0.3">
      <c r="A90">
        <v>71</v>
      </c>
      <c r="B90">
        <v>350</v>
      </c>
      <c r="C90">
        <v>4.9795000000000004E-4</v>
      </c>
      <c r="D90">
        <v>3.358E-5</v>
      </c>
      <c r="E90">
        <v>5.9999999999999995E-8</v>
      </c>
      <c r="F90">
        <v>3.7771949999999999E-2</v>
      </c>
      <c r="G90">
        <v>3.4140000000000002E-5</v>
      </c>
      <c r="H90">
        <v>3.3019999999999999E-5</v>
      </c>
      <c r="I90">
        <v>3.5859999999999999E-5</v>
      </c>
      <c r="J90">
        <v>7.1509499999999997E-3</v>
      </c>
    </row>
    <row r="91" spans="1:10" x14ac:dyDescent="0.3">
      <c r="A91">
        <v>72</v>
      </c>
      <c r="B91">
        <v>355</v>
      </c>
      <c r="C91">
        <v>4.7088000000000002E-4</v>
      </c>
      <c r="D91">
        <v>3.1850000000000002E-5</v>
      </c>
      <c r="E91">
        <v>4.0000000000000001E-8</v>
      </c>
      <c r="F91">
        <v>3.8928230000000001E-2</v>
      </c>
      <c r="G91">
        <v>3.2369999999999997E-5</v>
      </c>
      <c r="H91">
        <v>3.1340000000000001E-5</v>
      </c>
      <c r="I91">
        <v>3.3989999999999998E-5</v>
      </c>
      <c r="J91">
        <v>7.0310199999999998E-3</v>
      </c>
    </row>
    <row r="92" spans="1:10" x14ac:dyDescent="0.3">
      <c r="A92">
        <v>73</v>
      </c>
      <c r="B92">
        <v>360</v>
      </c>
      <c r="C92">
        <v>4.4561999999999998E-4</v>
      </c>
      <c r="D92">
        <v>3.2280000000000003E-5</v>
      </c>
      <c r="E92">
        <v>5.9999999999999995E-8</v>
      </c>
      <c r="F92">
        <v>3.8639159999999999E-2</v>
      </c>
      <c r="G92">
        <v>3.2660000000000002E-5</v>
      </c>
      <c r="H92">
        <v>3.1900000000000003E-5</v>
      </c>
      <c r="I92">
        <v>3.4279999999999997E-5</v>
      </c>
      <c r="J92">
        <v>7.0318100000000003E-3</v>
      </c>
    </row>
    <row r="93" spans="1:10" x14ac:dyDescent="0.3">
      <c r="A93">
        <v>74</v>
      </c>
      <c r="B93">
        <v>365</v>
      </c>
      <c r="C93">
        <v>4.2203999999999999E-4</v>
      </c>
      <c r="D93">
        <v>3.5009999999999999E-5</v>
      </c>
      <c r="E93">
        <v>5.9999999999999995E-8</v>
      </c>
      <c r="F93">
        <v>3.7675590000000002E-2</v>
      </c>
      <c r="G93">
        <v>3.5349999999999999E-5</v>
      </c>
      <c r="H93">
        <v>3.4669999999999998E-5</v>
      </c>
      <c r="I93">
        <v>3.7079999999999997E-5</v>
      </c>
      <c r="J93">
        <v>7.0763199999999997E-3</v>
      </c>
    </row>
    <row r="94" spans="1:10" x14ac:dyDescent="0.3">
      <c r="A94">
        <v>75</v>
      </c>
      <c r="B94">
        <v>370</v>
      </c>
      <c r="C94">
        <v>4.0000000000000002E-4</v>
      </c>
      <c r="D94">
        <v>4.4910000000000002E-5</v>
      </c>
      <c r="E94">
        <v>4.0000000000000001E-8</v>
      </c>
      <c r="F94">
        <v>3.2472309999999997E-2</v>
      </c>
      <c r="G94">
        <v>4.5370000000000001E-5</v>
      </c>
      <c r="H94">
        <v>4.4450000000000003E-5</v>
      </c>
      <c r="I94">
        <v>4.7599999999999998E-5</v>
      </c>
      <c r="J94">
        <v>7.8356499999999996E-3</v>
      </c>
    </row>
    <row r="95" spans="1:10" x14ac:dyDescent="0.3">
      <c r="A95">
        <v>76</v>
      </c>
      <c r="B95">
        <v>375</v>
      </c>
      <c r="C95">
        <v>4.0000000000000002E-4</v>
      </c>
      <c r="D95">
        <v>6.1130000000000006E-5</v>
      </c>
      <c r="E95">
        <v>4.0000000000000001E-8</v>
      </c>
      <c r="F95">
        <v>2.919617E-2</v>
      </c>
      <c r="G95">
        <v>6.1710000000000004E-5</v>
      </c>
      <c r="H95">
        <v>6.0560000000000003E-5</v>
      </c>
      <c r="I95">
        <v>6.4690000000000006E-5</v>
      </c>
      <c r="J95">
        <v>8.0563800000000001E-3</v>
      </c>
    </row>
    <row r="96" spans="1:10" x14ac:dyDescent="0.3">
      <c r="A96">
        <v>77</v>
      </c>
      <c r="B96">
        <v>380</v>
      </c>
      <c r="C96">
        <v>4.0000000000000002E-4</v>
      </c>
      <c r="D96">
        <v>8.0160000000000005E-5</v>
      </c>
      <c r="E96">
        <v>7.0000000000000005E-8</v>
      </c>
      <c r="F96">
        <v>2.890711E-2</v>
      </c>
      <c r="G96">
        <v>8.1000000000000004E-5</v>
      </c>
      <c r="H96">
        <v>7.9330000000000001E-5</v>
      </c>
      <c r="I96">
        <v>8.4870000000000006E-5</v>
      </c>
      <c r="J96">
        <v>7.2201499999999998E-3</v>
      </c>
    </row>
    <row r="97" spans="1:10" x14ac:dyDescent="0.3">
      <c r="A97">
        <v>78</v>
      </c>
      <c r="B97">
        <v>385</v>
      </c>
      <c r="C97">
        <v>4.0000000000000002E-4</v>
      </c>
      <c r="D97">
        <v>1.605E-4</v>
      </c>
      <c r="E97">
        <v>5.9999999999999995E-8</v>
      </c>
      <c r="F97">
        <v>3.0930599999999999E-2</v>
      </c>
      <c r="G97">
        <v>1.6252000000000001E-4</v>
      </c>
      <c r="H97">
        <v>1.5847999999999999E-4</v>
      </c>
      <c r="I97">
        <v>1.7034E-4</v>
      </c>
      <c r="J97">
        <v>8.0100699999999993E-3</v>
      </c>
    </row>
    <row r="98" spans="1:10" x14ac:dyDescent="0.3">
      <c r="A98">
        <v>79</v>
      </c>
      <c r="B98">
        <v>390</v>
      </c>
      <c r="C98">
        <v>4.0000000000000002E-4</v>
      </c>
      <c r="D98">
        <v>3.2522999999999997E-4</v>
      </c>
      <c r="E98">
        <v>3.4999999999999998E-7</v>
      </c>
      <c r="F98">
        <v>3.4014030000000001E-2</v>
      </c>
      <c r="G98">
        <v>3.3003999999999998E-4</v>
      </c>
      <c r="H98">
        <v>3.2042000000000003E-4</v>
      </c>
      <c r="I98">
        <v>3.4609000000000002E-4</v>
      </c>
      <c r="J98">
        <v>9.4964300000000001E-3</v>
      </c>
    </row>
    <row r="99" spans="1:10" x14ac:dyDescent="0.3">
      <c r="A99">
        <v>80</v>
      </c>
      <c r="B99">
        <v>395</v>
      </c>
      <c r="C99">
        <v>4.0000000000000002E-4</v>
      </c>
      <c r="D99">
        <v>3.9143000000000001E-4</v>
      </c>
      <c r="E99">
        <v>5.7999999999999995E-7</v>
      </c>
      <c r="F99">
        <v>3.8157370000000003E-2</v>
      </c>
      <c r="G99">
        <v>3.9829999999999998E-4</v>
      </c>
      <c r="H99">
        <v>3.8455999999999999E-4</v>
      </c>
      <c r="I99">
        <v>4.1792000000000001E-4</v>
      </c>
      <c r="J99">
        <v>6.3429999999999997E-3</v>
      </c>
    </row>
    <row r="100" spans="1:10" x14ac:dyDescent="0.3">
      <c r="A100">
        <v>81</v>
      </c>
      <c r="B100">
        <v>400</v>
      </c>
      <c r="C100">
        <v>4.0000000000000002E-4</v>
      </c>
      <c r="D100">
        <v>3.7889E-4</v>
      </c>
      <c r="E100">
        <v>6.5000000000000002E-7</v>
      </c>
      <c r="F100">
        <v>4.1529879999999998E-2</v>
      </c>
      <c r="G100">
        <v>3.8643999999999999E-4</v>
      </c>
      <c r="H100">
        <v>3.7134000000000001E-4</v>
      </c>
      <c r="I100">
        <v>4.0569E-4</v>
      </c>
      <c r="J100">
        <v>4.0729499999999997E-3</v>
      </c>
    </row>
    <row r="101" spans="1:10" x14ac:dyDescent="0.3">
      <c r="A101">
        <v>82</v>
      </c>
      <c r="B101">
        <v>405</v>
      </c>
      <c r="C101">
        <v>4.0000000000000002E-4</v>
      </c>
      <c r="D101">
        <v>4.0510999999999998E-4</v>
      </c>
      <c r="E101">
        <v>6.7000000000000004E-7</v>
      </c>
      <c r="F101">
        <v>4.2589799999999997E-2</v>
      </c>
      <c r="G101">
        <v>4.1378999999999998E-4</v>
      </c>
      <c r="H101">
        <v>3.9643000000000002E-4</v>
      </c>
      <c r="I101">
        <v>4.3451999999999998E-4</v>
      </c>
      <c r="J101">
        <v>3.87179E-3</v>
      </c>
    </row>
    <row r="102" spans="1:10" x14ac:dyDescent="0.3">
      <c r="A102">
        <v>83</v>
      </c>
      <c r="B102">
        <v>410</v>
      </c>
      <c r="C102">
        <v>4.0000000000000002E-4</v>
      </c>
      <c r="D102">
        <v>3.4862000000000001E-4</v>
      </c>
      <c r="E102">
        <v>7.0999999999999998E-7</v>
      </c>
      <c r="F102">
        <v>4.4709659999999998E-2</v>
      </c>
      <c r="G102">
        <v>3.5645000000000002E-4</v>
      </c>
      <c r="H102">
        <v>3.4078E-4</v>
      </c>
      <c r="I102">
        <v>3.7441999999999998E-4</v>
      </c>
      <c r="J102">
        <v>3.05639E-3</v>
      </c>
    </row>
    <row r="103" spans="1:10" x14ac:dyDescent="0.3">
      <c r="A103">
        <v>84</v>
      </c>
      <c r="B103">
        <v>415</v>
      </c>
      <c r="C103">
        <v>4.0000000000000002E-4</v>
      </c>
      <c r="D103">
        <v>4.0189000000000002E-4</v>
      </c>
      <c r="E103">
        <v>6.5000000000000002E-7</v>
      </c>
      <c r="F103">
        <v>4.2878880000000001E-2</v>
      </c>
      <c r="G103">
        <v>4.1138999999999998E-4</v>
      </c>
      <c r="H103">
        <v>3.924E-4</v>
      </c>
      <c r="I103">
        <v>4.3218999999999999E-4</v>
      </c>
      <c r="J103">
        <v>3.24918E-3</v>
      </c>
    </row>
    <row r="104" spans="1:10" x14ac:dyDescent="0.3">
      <c r="A104">
        <v>85</v>
      </c>
      <c r="B104">
        <v>420</v>
      </c>
      <c r="C104">
        <v>4.0000000000000002E-4</v>
      </c>
      <c r="D104">
        <v>4.5722999999999998E-4</v>
      </c>
      <c r="E104">
        <v>7.7000000000000004E-7</v>
      </c>
      <c r="F104">
        <v>4.3938789999999998E-2</v>
      </c>
      <c r="G104">
        <v>4.685E-4</v>
      </c>
      <c r="H104">
        <v>4.4597000000000001E-4</v>
      </c>
      <c r="I104">
        <v>4.9213000000000002E-4</v>
      </c>
      <c r="J104">
        <v>3.5622900000000001E-3</v>
      </c>
    </row>
    <row r="105" spans="1:10" x14ac:dyDescent="0.3">
      <c r="A105">
        <v>86</v>
      </c>
      <c r="B105">
        <v>425</v>
      </c>
      <c r="C105">
        <v>4.0000000000000002E-4</v>
      </c>
      <c r="D105">
        <v>4.0530999999999998E-4</v>
      </c>
      <c r="E105">
        <v>7.8999999999999995E-7</v>
      </c>
      <c r="F105">
        <v>4.5384149999999998E-2</v>
      </c>
      <c r="G105">
        <v>4.1529000000000002E-4</v>
      </c>
      <c r="H105">
        <v>3.9532E-4</v>
      </c>
      <c r="I105">
        <v>4.3627999999999999E-4</v>
      </c>
      <c r="J105">
        <v>3.0787200000000001E-3</v>
      </c>
    </row>
    <row r="106" spans="1:10" x14ac:dyDescent="0.3">
      <c r="A106">
        <v>87</v>
      </c>
      <c r="B106">
        <v>430</v>
      </c>
      <c r="C106">
        <v>4.0000000000000002E-4</v>
      </c>
      <c r="D106">
        <v>4.0936999999999999E-4</v>
      </c>
      <c r="E106">
        <v>6.8999999999999996E-7</v>
      </c>
      <c r="F106">
        <v>4.143351E-2</v>
      </c>
      <c r="G106">
        <v>4.1959000000000001E-4</v>
      </c>
      <c r="H106">
        <v>3.9916000000000002E-4</v>
      </c>
      <c r="I106">
        <v>4.4098E-4</v>
      </c>
      <c r="J106">
        <v>3.08567E-3</v>
      </c>
    </row>
    <row r="107" spans="1:10" x14ac:dyDescent="0.3">
      <c r="A107">
        <v>88</v>
      </c>
      <c r="B107">
        <v>435</v>
      </c>
      <c r="C107">
        <v>4.0000000000000002E-4</v>
      </c>
      <c r="D107">
        <v>4.2686999999999998E-4</v>
      </c>
      <c r="E107">
        <v>6.1999999999999999E-7</v>
      </c>
      <c r="F107">
        <v>3.8639159999999999E-2</v>
      </c>
      <c r="G107">
        <v>4.3773999999999999E-4</v>
      </c>
      <c r="H107">
        <v>4.1601000000000002E-4</v>
      </c>
      <c r="I107">
        <v>4.6006999999999998E-4</v>
      </c>
      <c r="J107">
        <v>3.1974099999999999E-3</v>
      </c>
    </row>
    <row r="108" spans="1:10" x14ac:dyDescent="0.3">
      <c r="A108">
        <v>89</v>
      </c>
      <c r="B108">
        <v>440</v>
      </c>
      <c r="C108">
        <v>4.0000000000000002E-4</v>
      </c>
      <c r="D108">
        <v>4.2306000000000001E-4</v>
      </c>
      <c r="E108">
        <v>6.7999999999999995E-7</v>
      </c>
      <c r="F108">
        <v>4.2782519999999997E-2</v>
      </c>
      <c r="G108">
        <v>4.3399999999999998E-4</v>
      </c>
      <c r="H108">
        <v>4.1211999999999998E-4</v>
      </c>
      <c r="I108">
        <v>4.5585999999999999E-4</v>
      </c>
      <c r="J108">
        <v>3.1748900000000001E-3</v>
      </c>
    </row>
    <row r="109" spans="1:10" x14ac:dyDescent="0.3">
      <c r="A109">
        <v>90</v>
      </c>
      <c r="B109">
        <v>445</v>
      </c>
      <c r="C109">
        <v>4.0000000000000002E-4</v>
      </c>
      <c r="D109">
        <v>3.5141000000000003E-4</v>
      </c>
      <c r="E109">
        <v>6.6000000000000003E-7</v>
      </c>
      <c r="F109">
        <v>4.3264289999999997E-2</v>
      </c>
      <c r="G109">
        <v>3.6045000000000001E-4</v>
      </c>
      <c r="H109">
        <v>3.4236999999999999E-4</v>
      </c>
      <c r="I109">
        <v>3.7855000000000001E-4</v>
      </c>
      <c r="J109">
        <v>2.6511E-3</v>
      </c>
    </row>
    <row r="110" spans="1:10" x14ac:dyDescent="0.3">
      <c r="A110">
        <v>91</v>
      </c>
      <c r="B110">
        <v>450</v>
      </c>
      <c r="C110">
        <v>4.0000000000000002E-4</v>
      </c>
      <c r="D110">
        <v>3.5783000000000001E-4</v>
      </c>
      <c r="E110">
        <v>7.4000000000000001E-7</v>
      </c>
      <c r="F110">
        <v>4.3649729999999998E-2</v>
      </c>
      <c r="G110">
        <v>3.6699999999999998E-4</v>
      </c>
      <c r="H110">
        <v>3.4864999999999999E-4</v>
      </c>
      <c r="I110">
        <v>3.8530999999999998E-4</v>
      </c>
      <c r="J110">
        <v>2.68629E-3</v>
      </c>
    </row>
    <row r="111" spans="1:10" x14ac:dyDescent="0.3">
      <c r="A111">
        <v>92</v>
      </c>
      <c r="B111">
        <v>455</v>
      </c>
      <c r="C111">
        <v>4.0000000000000002E-4</v>
      </c>
      <c r="D111">
        <v>3.5861999999999998E-4</v>
      </c>
      <c r="E111">
        <v>7.7000000000000004E-7</v>
      </c>
      <c r="F111">
        <v>4.3457009999999997E-2</v>
      </c>
      <c r="G111">
        <v>3.6786000000000002E-4</v>
      </c>
      <c r="H111">
        <v>3.4937999999999999E-4</v>
      </c>
      <c r="I111">
        <v>3.8620000000000001E-4</v>
      </c>
      <c r="J111">
        <v>2.4676699999999999E-3</v>
      </c>
    </row>
    <row r="112" spans="1:10" x14ac:dyDescent="0.3">
      <c r="A112">
        <v>93</v>
      </c>
      <c r="B112">
        <v>460</v>
      </c>
      <c r="C112">
        <v>4.0000000000000002E-4</v>
      </c>
      <c r="D112">
        <v>3.9402000000000003E-4</v>
      </c>
      <c r="E112">
        <v>7.7000000000000004E-7</v>
      </c>
      <c r="F112">
        <v>4.3938789999999998E-2</v>
      </c>
      <c r="G112">
        <v>4.0433999999999999E-4</v>
      </c>
      <c r="H112">
        <v>3.837E-4</v>
      </c>
      <c r="I112">
        <v>4.2446999999999998E-4</v>
      </c>
      <c r="J112">
        <v>2.35761E-3</v>
      </c>
    </row>
    <row r="113" spans="1:10" x14ac:dyDescent="0.3">
      <c r="A113">
        <v>94</v>
      </c>
      <c r="B113">
        <v>465</v>
      </c>
      <c r="C113">
        <v>4.0000000000000002E-4</v>
      </c>
      <c r="D113">
        <v>4.2419000000000002E-4</v>
      </c>
      <c r="E113">
        <v>6.9999999999999997E-7</v>
      </c>
      <c r="F113">
        <v>4.1529879999999998E-2</v>
      </c>
      <c r="G113">
        <v>4.3563E-4</v>
      </c>
      <c r="H113">
        <v>4.1274999999999998E-4</v>
      </c>
      <c r="I113">
        <v>4.5736000000000003E-4</v>
      </c>
      <c r="J113">
        <v>2.0265000000000001E-3</v>
      </c>
    </row>
    <row r="114" spans="1:10" x14ac:dyDescent="0.3">
      <c r="A114">
        <v>95</v>
      </c>
      <c r="B114">
        <v>470</v>
      </c>
      <c r="C114">
        <v>4.0000000000000002E-4</v>
      </c>
      <c r="D114">
        <v>4.3821000000000002E-4</v>
      </c>
      <c r="E114">
        <v>7.1999999999999999E-7</v>
      </c>
      <c r="F114">
        <v>4.0855370000000002E-2</v>
      </c>
      <c r="G114">
        <v>4.5025000000000002E-4</v>
      </c>
      <c r="H114">
        <v>4.2616000000000003E-4</v>
      </c>
      <c r="I114">
        <v>4.7260999999999999E-4</v>
      </c>
      <c r="J114">
        <v>1.6202600000000001E-3</v>
      </c>
    </row>
    <row r="115" spans="1:10" x14ac:dyDescent="0.3">
      <c r="A115">
        <v>96</v>
      </c>
      <c r="B115">
        <v>475</v>
      </c>
      <c r="C115">
        <v>4.0000000000000002E-4</v>
      </c>
      <c r="D115">
        <v>4.0126000000000002E-4</v>
      </c>
      <c r="E115">
        <v>7.5000000000000002E-7</v>
      </c>
      <c r="F115">
        <v>4.1529879999999998E-2</v>
      </c>
      <c r="G115">
        <v>4.1278000000000002E-4</v>
      </c>
      <c r="H115">
        <v>3.8975000000000001E-4</v>
      </c>
      <c r="I115">
        <v>4.3334999999999999E-4</v>
      </c>
      <c r="J115">
        <v>1.0916999999999999E-3</v>
      </c>
    </row>
    <row r="116" spans="1:10" x14ac:dyDescent="0.3">
      <c r="A116">
        <v>97</v>
      </c>
      <c r="B116">
        <v>480</v>
      </c>
      <c r="C116">
        <v>4.0000000000000002E-4</v>
      </c>
      <c r="D116">
        <v>4.1219E-4</v>
      </c>
      <c r="E116">
        <v>7.1999999999999999E-7</v>
      </c>
      <c r="F116">
        <v>4.1337159999999998E-2</v>
      </c>
      <c r="G116">
        <v>4.2359E-4</v>
      </c>
      <c r="H116">
        <v>4.0078999999999999E-4</v>
      </c>
      <c r="I116">
        <v>4.4472000000000001E-4</v>
      </c>
      <c r="J116">
        <v>8.2388999999999997E-4</v>
      </c>
    </row>
    <row r="117" spans="1:10" x14ac:dyDescent="0.3">
      <c r="A117">
        <v>98</v>
      </c>
      <c r="B117">
        <v>485</v>
      </c>
      <c r="C117">
        <v>4.0000000000000002E-4</v>
      </c>
      <c r="D117">
        <v>4.3137999999999998E-4</v>
      </c>
      <c r="E117">
        <v>7.9999999999999996E-7</v>
      </c>
      <c r="F117">
        <v>4.249344E-2</v>
      </c>
      <c r="G117">
        <v>4.4371999999999999E-4</v>
      </c>
      <c r="H117">
        <v>4.1904000000000003E-4</v>
      </c>
      <c r="I117">
        <v>4.6585000000000002E-4</v>
      </c>
      <c r="J117">
        <v>6.4676000000000002E-4</v>
      </c>
    </row>
    <row r="118" spans="1:10" x14ac:dyDescent="0.3">
      <c r="A118">
        <v>99</v>
      </c>
      <c r="B118">
        <v>490</v>
      </c>
      <c r="C118">
        <v>4.0000000000000002E-4</v>
      </c>
      <c r="D118">
        <v>3.9180999999999998E-4</v>
      </c>
      <c r="E118">
        <v>7.8999999999999995E-7</v>
      </c>
      <c r="F118">
        <v>4.3746090000000001E-2</v>
      </c>
      <c r="G118">
        <v>4.0345000000000002E-4</v>
      </c>
      <c r="H118">
        <v>3.8016999999999999E-4</v>
      </c>
      <c r="I118">
        <v>4.2353999999999997E-4</v>
      </c>
      <c r="J118">
        <v>4.6663999999999999E-4</v>
      </c>
    </row>
    <row r="119" spans="1:10" x14ac:dyDescent="0.3">
      <c r="A119">
        <v>100</v>
      </c>
      <c r="B119">
        <v>495</v>
      </c>
      <c r="C119">
        <v>4.0000000000000002E-4</v>
      </c>
      <c r="D119">
        <v>3.4252000000000002E-4</v>
      </c>
      <c r="E119">
        <v>6.9999999999999997E-7</v>
      </c>
      <c r="F119">
        <v>4.480601E-2</v>
      </c>
      <c r="G119">
        <v>3.5285999999999998E-4</v>
      </c>
      <c r="H119">
        <v>3.3217000000000001E-4</v>
      </c>
      <c r="I119">
        <v>3.7024999999999997E-4</v>
      </c>
      <c r="J119">
        <v>3.2341E-4</v>
      </c>
    </row>
    <row r="120" spans="1:10" x14ac:dyDescent="0.3">
      <c r="A120">
        <v>101</v>
      </c>
      <c r="B120">
        <v>500</v>
      </c>
      <c r="C120">
        <v>4.0000000000000002E-4</v>
      </c>
      <c r="D120">
        <v>4.0346000000000002E-4</v>
      </c>
      <c r="E120">
        <v>7.9999999999999996E-7</v>
      </c>
      <c r="F120">
        <v>4.5576869999999998E-2</v>
      </c>
      <c r="G120">
        <v>4.1603000000000001E-4</v>
      </c>
      <c r="H120">
        <v>3.9088000000000003E-4</v>
      </c>
      <c r="I120">
        <v>4.3657E-4</v>
      </c>
      <c r="J120">
        <v>3.4980999999999999E-4</v>
      </c>
    </row>
    <row r="121" spans="1:10" x14ac:dyDescent="0.3">
      <c r="A121">
        <v>102</v>
      </c>
      <c r="B121">
        <v>505</v>
      </c>
      <c r="C121">
        <v>4.0000000000000002E-4</v>
      </c>
      <c r="D121">
        <v>3.7933999999999998E-4</v>
      </c>
      <c r="E121">
        <v>8.5000000000000001E-7</v>
      </c>
      <c r="F121">
        <v>4.8082140000000002E-2</v>
      </c>
      <c r="G121">
        <v>3.9156999999999999E-4</v>
      </c>
      <c r="H121">
        <v>3.6712000000000002E-4</v>
      </c>
      <c r="I121">
        <v>4.1096999999999998E-4</v>
      </c>
      <c r="J121">
        <v>3.3795E-4</v>
      </c>
    </row>
    <row r="122" spans="1:10" x14ac:dyDescent="0.3">
      <c r="A122">
        <v>103</v>
      </c>
      <c r="B122">
        <v>510</v>
      </c>
      <c r="C122">
        <v>4.0000000000000002E-4</v>
      </c>
      <c r="D122">
        <v>4.1229E-4</v>
      </c>
      <c r="E122">
        <v>8.8000000000000004E-7</v>
      </c>
      <c r="F122">
        <v>4.7311289999999999E-2</v>
      </c>
      <c r="G122">
        <v>4.2588000000000001E-4</v>
      </c>
      <c r="H122">
        <v>3.9870999999999998E-4</v>
      </c>
      <c r="I122">
        <v>4.4683E-4</v>
      </c>
      <c r="J122">
        <v>4.2169000000000001E-4</v>
      </c>
    </row>
    <row r="123" spans="1:10" x14ac:dyDescent="0.3">
      <c r="A123">
        <v>104</v>
      </c>
      <c r="B123">
        <v>515</v>
      </c>
      <c r="C123">
        <v>4.0000000000000002E-4</v>
      </c>
      <c r="D123">
        <v>4.2209000000000002E-4</v>
      </c>
      <c r="E123">
        <v>8.9999999999999996E-7</v>
      </c>
      <c r="F123">
        <v>4.5865940000000001E-2</v>
      </c>
      <c r="G123">
        <v>4.3642000000000003E-4</v>
      </c>
      <c r="H123">
        <v>4.0777000000000001E-4</v>
      </c>
      <c r="I123">
        <v>4.5787999999999997E-4</v>
      </c>
      <c r="J123">
        <v>5.1915999999999996E-4</v>
      </c>
    </row>
    <row r="124" spans="1:10" x14ac:dyDescent="0.3">
      <c r="A124">
        <v>105</v>
      </c>
      <c r="B124">
        <v>520</v>
      </c>
      <c r="C124">
        <v>4.0000000000000002E-4</v>
      </c>
      <c r="D124">
        <v>4.5626999999999999E-4</v>
      </c>
      <c r="E124">
        <v>8.6000000000000002E-7</v>
      </c>
      <c r="F124">
        <v>4.4227870000000002E-2</v>
      </c>
      <c r="G124">
        <v>4.7223000000000002E-4</v>
      </c>
      <c r="H124">
        <v>4.4030000000000002E-4</v>
      </c>
      <c r="I124">
        <v>4.9549000000000001E-4</v>
      </c>
      <c r="J124">
        <v>7.0089000000000002E-4</v>
      </c>
    </row>
    <row r="125" spans="1:10" x14ac:dyDescent="0.3">
      <c r="A125">
        <v>106</v>
      </c>
      <c r="B125">
        <v>525</v>
      </c>
      <c r="C125">
        <v>4.0000000000000002E-4</v>
      </c>
      <c r="D125">
        <v>4.6843999999999998E-4</v>
      </c>
      <c r="E125">
        <v>7.8999999999999995E-7</v>
      </c>
      <c r="F125">
        <v>4.4035159999999997E-2</v>
      </c>
      <c r="G125">
        <v>4.8500000000000003E-4</v>
      </c>
      <c r="H125">
        <v>4.5187E-4</v>
      </c>
      <c r="I125">
        <v>5.0887000000000003E-4</v>
      </c>
      <c r="J125">
        <v>9.0499000000000005E-4</v>
      </c>
    </row>
    <row r="126" spans="1:10" x14ac:dyDescent="0.3">
      <c r="A126">
        <v>107</v>
      </c>
      <c r="B126">
        <v>530</v>
      </c>
      <c r="C126">
        <v>4.0000000000000002E-4</v>
      </c>
      <c r="D126">
        <v>4.1251999999999999E-4</v>
      </c>
      <c r="E126">
        <v>8.0999999999999997E-7</v>
      </c>
      <c r="F126">
        <v>4.2975220000000001E-2</v>
      </c>
      <c r="G126">
        <v>4.2691000000000002E-4</v>
      </c>
      <c r="H126">
        <v>3.9813000000000001E-4</v>
      </c>
      <c r="I126">
        <v>4.4787000000000001E-4</v>
      </c>
      <c r="J126">
        <v>1.0151800000000001E-3</v>
      </c>
    </row>
    <row r="127" spans="1:10" x14ac:dyDescent="0.3">
      <c r="A127">
        <v>108</v>
      </c>
      <c r="B127">
        <v>535</v>
      </c>
      <c r="C127">
        <v>4.0000000000000002E-4</v>
      </c>
      <c r="D127">
        <v>3.7202999999999997E-4</v>
      </c>
      <c r="E127">
        <v>8.2999999999999999E-7</v>
      </c>
      <c r="F127">
        <v>4.5962290000000003E-2</v>
      </c>
      <c r="G127">
        <v>3.8468999999999998E-4</v>
      </c>
      <c r="H127">
        <v>3.5937000000000002E-4</v>
      </c>
      <c r="I127">
        <v>4.0349E-4</v>
      </c>
      <c r="J127">
        <v>1.1096599999999999E-3</v>
      </c>
    </row>
    <row r="128" spans="1:10" x14ac:dyDescent="0.3">
      <c r="A128">
        <v>109</v>
      </c>
      <c r="B128">
        <v>540</v>
      </c>
      <c r="C128">
        <v>4.0000000000000002E-4</v>
      </c>
      <c r="D128">
        <v>4.0960999999999998E-4</v>
      </c>
      <c r="E128">
        <v>8.8000000000000004E-7</v>
      </c>
      <c r="F128">
        <v>4.6444069999999997E-2</v>
      </c>
      <c r="G128">
        <v>4.2378000000000001E-4</v>
      </c>
      <c r="H128">
        <v>3.9543E-4</v>
      </c>
      <c r="I128">
        <v>4.4455999999999999E-4</v>
      </c>
      <c r="J128">
        <v>1.34866E-3</v>
      </c>
    </row>
    <row r="129" spans="1:10" x14ac:dyDescent="0.3">
      <c r="A129">
        <v>110</v>
      </c>
      <c r="B129">
        <v>545</v>
      </c>
      <c r="C129">
        <v>4.0000000000000002E-4</v>
      </c>
      <c r="D129">
        <v>3.8999999999999999E-4</v>
      </c>
      <c r="E129">
        <v>8.8999999999999995E-7</v>
      </c>
      <c r="F129">
        <v>4.8467570000000001E-2</v>
      </c>
      <c r="G129">
        <v>4.0369000000000001E-4</v>
      </c>
      <c r="H129">
        <v>3.7629999999999999E-4</v>
      </c>
      <c r="I129">
        <v>4.2337000000000001E-4</v>
      </c>
      <c r="J129">
        <v>1.23083E-3</v>
      </c>
    </row>
    <row r="130" spans="1:10" x14ac:dyDescent="0.3">
      <c r="A130">
        <v>111</v>
      </c>
      <c r="B130">
        <v>550</v>
      </c>
      <c r="C130">
        <v>4.0000000000000002E-4</v>
      </c>
      <c r="D130">
        <v>4.0545000000000002E-4</v>
      </c>
      <c r="E130">
        <v>9.4E-7</v>
      </c>
      <c r="F130">
        <v>4.9527500000000002E-2</v>
      </c>
      <c r="G130">
        <v>4.1968000000000002E-4</v>
      </c>
      <c r="H130">
        <v>3.9121000000000002E-4</v>
      </c>
      <c r="I130">
        <v>4.4013E-4</v>
      </c>
      <c r="J130">
        <v>1.13155E-3</v>
      </c>
    </row>
    <row r="131" spans="1:10" x14ac:dyDescent="0.3">
      <c r="A131">
        <v>112</v>
      </c>
      <c r="B131">
        <v>555</v>
      </c>
      <c r="C131">
        <v>4.0000000000000002E-4</v>
      </c>
      <c r="D131">
        <v>4.0672000000000001E-4</v>
      </c>
      <c r="E131">
        <v>9.5000000000000001E-7</v>
      </c>
      <c r="F131">
        <v>5.1647360000000003E-2</v>
      </c>
      <c r="G131">
        <v>4.214E-4</v>
      </c>
      <c r="H131">
        <v>3.9204000000000002E-4</v>
      </c>
      <c r="I131">
        <v>4.4178000000000002E-4</v>
      </c>
      <c r="J131">
        <v>1.2094499999999999E-3</v>
      </c>
    </row>
    <row r="132" spans="1:10" x14ac:dyDescent="0.3">
      <c r="A132">
        <v>113</v>
      </c>
      <c r="B132">
        <v>560</v>
      </c>
      <c r="C132">
        <v>4.0000000000000002E-4</v>
      </c>
      <c r="D132">
        <v>4.3459E-4</v>
      </c>
      <c r="E132">
        <v>9.7999999999999993E-7</v>
      </c>
      <c r="F132">
        <v>5.0491080000000001E-2</v>
      </c>
      <c r="G132">
        <v>4.5122000000000001E-4</v>
      </c>
      <c r="H132">
        <v>4.1796999999999998E-4</v>
      </c>
      <c r="I132">
        <v>4.7313999999999999E-4</v>
      </c>
      <c r="J132">
        <v>1.7103699999999999E-3</v>
      </c>
    </row>
    <row r="133" spans="1:10" x14ac:dyDescent="0.3">
      <c r="A133">
        <v>114</v>
      </c>
      <c r="B133">
        <v>565</v>
      </c>
      <c r="C133">
        <v>4.0000000000000002E-4</v>
      </c>
      <c r="D133">
        <v>4.4253000000000001E-4</v>
      </c>
      <c r="E133">
        <v>1.04E-6</v>
      </c>
      <c r="F133">
        <v>4.9912930000000001E-2</v>
      </c>
      <c r="G133">
        <v>4.6121999999999998E-4</v>
      </c>
      <c r="H133">
        <v>4.2383999999999998E-4</v>
      </c>
      <c r="I133">
        <v>4.8399000000000001E-4</v>
      </c>
      <c r="J133">
        <v>2.2994500000000002E-3</v>
      </c>
    </row>
    <row r="134" spans="1:10" x14ac:dyDescent="0.3">
      <c r="A134">
        <v>115</v>
      </c>
      <c r="B134">
        <v>570</v>
      </c>
      <c r="C134">
        <v>4.0000000000000002E-4</v>
      </c>
      <c r="D134">
        <v>3.6571999999999999E-4</v>
      </c>
      <c r="E134">
        <v>9.7000000000000003E-7</v>
      </c>
      <c r="F134">
        <v>5.0105650000000002E-2</v>
      </c>
      <c r="G134">
        <v>3.8351999999999999E-4</v>
      </c>
      <c r="H134">
        <v>3.4791999999999999E-4</v>
      </c>
      <c r="I134">
        <v>4.0316000000000001E-4</v>
      </c>
      <c r="J134">
        <v>2.5399799999999998E-3</v>
      </c>
    </row>
    <row r="135" spans="1:10" x14ac:dyDescent="0.3">
      <c r="A135">
        <v>116</v>
      </c>
      <c r="B135">
        <v>575</v>
      </c>
      <c r="C135">
        <v>4.0000000000000002E-4</v>
      </c>
      <c r="D135">
        <v>4.1732999999999999E-4</v>
      </c>
      <c r="E135">
        <v>1.0100000000000001E-6</v>
      </c>
      <c r="F135">
        <v>4.9912930000000001E-2</v>
      </c>
      <c r="G135">
        <v>4.4163999999999998E-4</v>
      </c>
      <c r="H135">
        <v>3.9301000000000001E-4</v>
      </c>
      <c r="I135">
        <v>4.6548E-4</v>
      </c>
      <c r="J135">
        <v>3.8849800000000001E-3</v>
      </c>
    </row>
    <row r="136" spans="1:10" x14ac:dyDescent="0.3">
      <c r="A136">
        <v>117</v>
      </c>
      <c r="B136">
        <v>580</v>
      </c>
      <c r="C136">
        <v>4.0000000000000002E-4</v>
      </c>
      <c r="D136">
        <v>4.3885000000000001E-4</v>
      </c>
      <c r="E136">
        <v>8.5000000000000001E-7</v>
      </c>
      <c r="F136">
        <v>4.6733150000000001E-2</v>
      </c>
      <c r="G136">
        <v>4.6732000000000002E-4</v>
      </c>
      <c r="H136">
        <v>4.1037000000000002E-4</v>
      </c>
      <c r="I136">
        <v>4.9330000000000001E-4</v>
      </c>
      <c r="J136">
        <v>5.08122E-3</v>
      </c>
    </row>
    <row r="137" spans="1:10" x14ac:dyDescent="0.3">
      <c r="A137">
        <v>118</v>
      </c>
      <c r="B137">
        <v>585</v>
      </c>
      <c r="C137">
        <v>4.0000000000000002E-4</v>
      </c>
      <c r="D137">
        <v>3.6234E-4</v>
      </c>
      <c r="E137">
        <v>8.8000000000000004E-7</v>
      </c>
      <c r="F137">
        <v>4.7022229999999998E-2</v>
      </c>
      <c r="G137">
        <v>3.8769999999999999E-4</v>
      </c>
      <c r="H137">
        <v>3.3698000000000002E-4</v>
      </c>
      <c r="I137">
        <v>4.0964000000000001E-4</v>
      </c>
      <c r="J137">
        <v>5.3089499999999998E-3</v>
      </c>
    </row>
    <row r="138" spans="1:10" x14ac:dyDescent="0.3">
      <c r="A138">
        <v>119</v>
      </c>
      <c r="B138">
        <v>590</v>
      </c>
      <c r="C138">
        <v>4.0000000000000002E-4</v>
      </c>
      <c r="D138">
        <v>3.3985999999999999E-4</v>
      </c>
      <c r="E138">
        <v>8.9999999999999996E-7</v>
      </c>
      <c r="F138">
        <v>4.6444069999999997E-2</v>
      </c>
      <c r="G138">
        <v>3.6431000000000001E-4</v>
      </c>
      <c r="H138">
        <v>3.1540000000000002E-4</v>
      </c>
      <c r="I138">
        <v>3.8504000000000001E-4</v>
      </c>
      <c r="J138">
        <v>6.3870799999999998E-3</v>
      </c>
    </row>
    <row r="139" spans="1:10" x14ac:dyDescent="0.3">
      <c r="A139">
        <v>120</v>
      </c>
      <c r="B139">
        <v>595</v>
      </c>
      <c r="C139">
        <v>4.0000000000000002E-4</v>
      </c>
      <c r="D139">
        <v>3.4119E-4</v>
      </c>
      <c r="E139">
        <v>7.1999999999999999E-7</v>
      </c>
      <c r="F139">
        <v>4.9912930000000001E-2</v>
      </c>
      <c r="G139">
        <v>3.657E-4</v>
      </c>
      <c r="H139">
        <v>3.1667000000000002E-4</v>
      </c>
      <c r="I139">
        <v>3.8631000000000001E-4</v>
      </c>
      <c r="J139">
        <v>7.7184899999999997E-3</v>
      </c>
    </row>
    <row r="140" spans="1:10" x14ac:dyDescent="0.3">
      <c r="A140">
        <v>121</v>
      </c>
      <c r="B140">
        <v>600</v>
      </c>
      <c r="C140">
        <v>4.0000000000000002E-4</v>
      </c>
      <c r="D140">
        <v>2.5431999999999999E-4</v>
      </c>
      <c r="E140">
        <v>5.2E-7</v>
      </c>
      <c r="F140">
        <v>4.8467570000000001E-2</v>
      </c>
      <c r="G140">
        <v>2.7305999999999999E-4</v>
      </c>
      <c r="H140">
        <v>2.3557E-4</v>
      </c>
      <c r="I140">
        <v>2.8846999999999998E-4</v>
      </c>
      <c r="J140">
        <v>7.2775100000000001E-3</v>
      </c>
    </row>
    <row r="141" spans="1:10" x14ac:dyDescent="0.3">
      <c r="A141">
        <v>122</v>
      </c>
      <c r="B141">
        <v>605</v>
      </c>
      <c r="C141">
        <v>4.0000000000000002E-4</v>
      </c>
      <c r="D141">
        <v>2.1301E-4</v>
      </c>
      <c r="E141">
        <v>3.4999999999999998E-7</v>
      </c>
      <c r="F141">
        <v>4.451695E-2</v>
      </c>
      <c r="G141">
        <v>2.2897999999999999E-4</v>
      </c>
      <c r="H141">
        <v>1.9704999999999999E-4</v>
      </c>
      <c r="I141">
        <v>2.4191999999999999E-4</v>
      </c>
      <c r="J141">
        <v>7.47571E-3</v>
      </c>
    </row>
    <row r="142" spans="1:10" x14ac:dyDescent="0.3">
      <c r="A142">
        <v>123</v>
      </c>
      <c r="B142">
        <v>610</v>
      </c>
      <c r="C142">
        <v>4.0000000000000002E-4</v>
      </c>
      <c r="D142">
        <v>1.3816999999999999E-4</v>
      </c>
      <c r="E142">
        <v>3.1E-7</v>
      </c>
      <c r="F142">
        <v>4.605865E-2</v>
      </c>
      <c r="G142">
        <v>1.4857E-4</v>
      </c>
      <c r="H142">
        <v>1.2777E-4</v>
      </c>
      <c r="I142">
        <v>1.5693E-4</v>
      </c>
      <c r="J142">
        <v>5.92086E-3</v>
      </c>
    </row>
    <row r="143" spans="1:10" x14ac:dyDescent="0.3">
      <c r="A143">
        <v>124</v>
      </c>
      <c r="B143">
        <v>615</v>
      </c>
      <c r="C143">
        <v>4.0000000000000002E-4</v>
      </c>
      <c r="D143">
        <v>1.0183000000000001E-4</v>
      </c>
      <c r="E143">
        <v>2.1E-7</v>
      </c>
      <c r="F143">
        <v>4.6155000000000002E-2</v>
      </c>
      <c r="G143">
        <v>1.0946E-4</v>
      </c>
      <c r="H143">
        <v>9.4209999999999994E-5</v>
      </c>
      <c r="I143">
        <v>1.1563E-4</v>
      </c>
      <c r="J143">
        <v>5.5456100000000003E-3</v>
      </c>
    </row>
    <row r="144" spans="1:10" x14ac:dyDescent="0.3">
      <c r="A144">
        <v>125</v>
      </c>
      <c r="B144">
        <v>620</v>
      </c>
      <c r="C144">
        <v>4.0000000000000002E-4</v>
      </c>
      <c r="D144">
        <v>9.5950000000000001E-5</v>
      </c>
      <c r="E144">
        <v>2.2000000000000001E-7</v>
      </c>
      <c r="F144">
        <v>4.9334790000000003E-2</v>
      </c>
      <c r="G144">
        <v>1.0289999999999999E-4</v>
      </c>
      <c r="H144">
        <v>8.8999999999999995E-5</v>
      </c>
      <c r="I144">
        <v>1.0866000000000001E-4</v>
      </c>
      <c r="J144">
        <v>6.1869300000000002E-3</v>
      </c>
    </row>
    <row r="145" spans="1:10" x14ac:dyDescent="0.3">
      <c r="A145">
        <v>126</v>
      </c>
      <c r="B145">
        <v>625</v>
      </c>
      <c r="C145">
        <v>4.0000000000000002E-4</v>
      </c>
      <c r="D145">
        <v>9.1399999999999999E-5</v>
      </c>
      <c r="E145">
        <v>2.9999999999999999E-7</v>
      </c>
      <c r="F145">
        <v>5.3767210000000003E-2</v>
      </c>
      <c r="G145">
        <v>9.7759999999999999E-5</v>
      </c>
      <c r="H145">
        <v>8.5030000000000004E-5</v>
      </c>
      <c r="I145">
        <v>1.0318E-4</v>
      </c>
      <c r="J145">
        <v>7.1254100000000004E-3</v>
      </c>
    </row>
    <row r="146" spans="1:10" x14ac:dyDescent="0.3">
      <c r="A146">
        <v>127</v>
      </c>
      <c r="B146">
        <v>630</v>
      </c>
      <c r="C146">
        <v>4.0000000000000002E-4</v>
      </c>
      <c r="D146">
        <v>9.5920000000000003E-5</v>
      </c>
      <c r="E146">
        <v>1.9999999999999999E-7</v>
      </c>
      <c r="F146">
        <v>5.1647360000000003E-2</v>
      </c>
      <c r="G146">
        <v>1.0213E-4</v>
      </c>
      <c r="H146">
        <v>8.9699999999999998E-5</v>
      </c>
      <c r="I146">
        <v>1.0772000000000001E-4</v>
      </c>
      <c r="J146">
        <v>8.4153400000000003E-3</v>
      </c>
    </row>
    <row r="147" spans="1:10" x14ac:dyDescent="0.3">
      <c r="A147">
        <v>128</v>
      </c>
      <c r="B147">
        <v>635</v>
      </c>
      <c r="C147">
        <v>3.9845000000000001E-4</v>
      </c>
      <c r="D147">
        <v>9.0909999999999995E-5</v>
      </c>
      <c r="E147">
        <v>1.6E-7</v>
      </c>
      <c r="F147">
        <v>4.8082140000000002E-2</v>
      </c>
      <c r="G147">
        <v>9.6139999999999998E-5</v>
      </c>
      <c r="H147">
        <v>8.5690000000000001E-5</v>
      </c>
      <c r="I147">
        <v>1.0124999999999999E-4</v>
      </c>
      <c r="J147">
        <v>7.9851699999999998E-3</v>
      </c>
    </row>
    <row r="148" spans="1:10" x14ac:dyDescent="0.3">
      <c r="A148">
        <v>129</v>
      </c>
      <c r="B148">
        <v>640</v>
      </c>
      <c r="C148">
        <v>3.9691999999999999E-4</v>
      </c>
      <c r="D148">
        <v>9.9720000000000001E-5</v>
      </c>
      <c r="E148">
        <v>1.6999999999999999E-7</v>
      </c>
      <c r="F148">
        <v>4.5769579999999997E-2</v>
      </c>
      <c r="G148">
        <v>1.0467999999999999E-4</v>
      </c>
      <c r="H148">
        <v>9.4749999999999999E-5</v>
      </c>
      <c r="I148">
        <v>1.1017E-4</v>
      </c>
      <c r="J148">
        <v>8.3510100000000007E-3</v>
      </c>
    </row>
    <row r="149" spans="1:10" x14ac:dyDescent="0.3">
      <c r="A149">
        <v>130</v>
      </c>
      <c r="B149">
        <v>645</v>
      </c>
      <c r="C149">
        <v>3.9540000000000002E-4</v>
      </c>
      <c r="D149">
        <v>9.611E-5</v>
      </c>
      <c r="E149">
        <v>2.1E-7</v>
      </c>
      <c r="F149">
        <v>4.5287800000000003E-2</v>
      </c>
      <c r="G149">
        <v>1.0051E-4</v>
      </c>
      <c r="H149">
        <v>9.1719999999999996E-5</v>
      </c>
      <c r="I149">
        <v>1.0571E-4</v>
      </c>
      <c r="J149">
        <v>7.3408199999999996E-3</v>
      </c>
    </row>
    <row r="150" spans="1:10" x14ac:dyDescent="0.3">
      <c r="A150">
        <v>131</v>
      </c>
      <c r="B150">
        <v>650</v>
      </c>
      <c r="C150">
        <v>3.9389999999999998E-4</v>
      </c>
      <c r="D150">
        <v>8.0599999999999994E-5</v>
      </c>
      <c r="E150">
        <v>1.4000000000000001E-7</v>
      </c>
      <c r="F150">
        <v>4.5191429999999998E-2</v>
      </c>
      <c r="G150">
        <v>8.3910000000000001E-5</v>
      </c>
      <c r="H150">
        <v>7.7299999999999995E-5</v>
      </c>
      <c r="I150">
        <v>8.8129999999999998E-5</v>
      </c>
      <c r="J150">
        <v>6.12431E-3</v>
      </c>
    </row>
    <row r="151" spans="1:10" x14ac:dyDescent="0.3">
      <c r="A151">
        <v>132</v>
      </c>
      <c r="B151">
        <v>655</v>
      </c>
      <c r="C151">
        <v>3.9241999999999999E-4</v>
      </c>
      <c r="D151">
        <v>8.6009999999999998E-5</v>
      </c>
      <c r="E151">
        <v>1.6E-7</v>
      </c>
      <c r="F151">
        <v>4.2589799999999997E-2</v>
      </c>
      <c r="G151">
        <v>8.8770000000000006E-5</v>
      </c>
      <c r="H151">
        <v>8.3239999999999996E-5</v>
      </c>
      <c r="I151">
        <v>9.3059999999999993E-5</v>
      </c>
      <c r="J151">
        <v>6.7591300000000003E-3</v>
      </c>
    </row>
    <row r="152" spans="1:10" x14ac:dyDescent="0.3">
      <c r="A152">
        <v>133</v>
      </c>
      <c r="B152">
        <v>660</v>
      </c>
      <c r="C152">
        <v>3.9095999999999998E-4</v>
      </c>
      <c r="D152">
        <v>8.3159999999999997E-5</v>
      </c>
      <c r="E152">
        <v>1.1999999999999999E-7</v>
      </c>
      <c r="F152">
        <v>4.0759009999999998E-2</v>
      </c>
      <c r="G152">
        <v>8.5400000000000002E-5</v>
      </c>
      <c r="H152">
        <v>8.0909999999999996E-5</v>
      </c>
      <c r="I152">
        <v>8.9480000000000004E-5</v>
      </c>
      <c r="J152">
        <v>6.1178700000000001E-3</v>
      </c>
    </row>
    <row r="153" spans="1:10" x14ac:dyDescent="0.3">
      <c r="A153">
        <v>134</v>
      </c>
      <c r="B153">
        <v>665</v>
      </c>
      <c r="C153">
        <v>3.8950999999999998E-4</v>
      </c>
      <c r="D153">
        <v>8.8339999999999998E-5</v>
      </c>
      <c r="E153">
        <v>1.6E-7</v>
      </c>
      <c r="F153">
        <v>4.1818939999999999E-2</v>
      </c>
      <c r="G153">
        <v>9.0959999999999996E-5</v>
      </c>
      <c r="H153">
        <v>8.5719999999999999E-5</v>
      </c>
      <c r="I153">
        <v>9.535E-5</v>
      </c>
      <c r="J153">
        <v>5.47993E-3</v>
      </c>
    </row>
    <row r="154" spans="1:10" x14ac:dyDescent="0.3">
      <c r="A154">
        <v>135</v>
      </c>
      <c r="B154">
        <v>670</v>
      </c>
      <c r="C154">
        <v>3.8808000000000001E-4</v>
      </c>
      <c r="D154">
        <v>1.2574E-4</v>
      </c>
      <c r="E154">
        <v>1.9000000000000001E-7</v>
      </c>
      <c r="F154">
        <v>4.1337159999999998E-2</v>
      </c>
      <c r="G154">
        <v>1.3043000000000001E-4</v>
      </c>
      <c r="H154">
        <v>1.2105E-4</v>
      </c>
      <c r="I154">
        <v>1.3700999999999999E-4</v>
      </c>
      <c r="J154">
        <v>6.8480199999999998E-3</v>
      </c>
    </row>
    <row r="155" spans="1:10" x14ac:dyDescent="0.3">
      <c r="A155">
        <v>136</v>
      </c>
      <c r="B155">
        <v>675</v>
      </c>
      <c r="C155">
        <v>3.8666999999999998E-4</v>
      </c>
      <c r="D155">
        <v>1.3634000000000001E-4</v>
      </c>
      <c r="E155">
        <v>2.7000000000000001E-7</v>
      </c>
      <c r="F155">
        <v>4.3842440000000003E-2</v>
      </c>
      <c r="G155">
        <v>1.4312E-4</v>
      </c>
      <c r="H155">
        <v>1.2955E-4</v>
      </c>
      <c r="I155">
        <v>1.5080000000000001E-4</v>
      </c>
      <c r="J155">
        <v>6.2177700000000001E-3</v>
      </c>
    </row>
    <row r="156" spans="1:10" x14ac:dyDescent="0.3">
      <c r="A156">
        <v>137</v>
      </c>
      <c r="B156">
        <v>680</v>
      </c>
      <c r="C156">
        <v>3.8527E-4</v>
      </c>
      <c r="D156">
        <v>1.6872999999999999E-4</v>
      </c>
      <c r="E156">
        <v>3.3000000000000002E-7</v>
      </c>
      <c r="F156">
        <v>4.3457009999999997E-2</v>
      </c>
      <c r="G156">
        <v>1.783E-4</v>
      </c>
      <c r="H156">
        <v>1.5915999999999999E-4</v>
      </c>
      <c r="I156">
        <v>1.8811000000000001E-4</v>
      </c>
      <c r="J156">
        <v>5.9572999999999996E-3</v>
      </c>
    </row>
    <row r="157" spans="1:10" x14ac:dyDescent="0.3">
      <c r="A157">
        <v>138</v>
      </c>
      <c r="B157">
        <v>685</v>
      </c>
      <c r="C157">
        <v>3.8388000000000002E-4</v>
      </c>
      <c r="D157">
        <v>2.5316999999999999E-4</v>
      </c>
      <c r="E157">
        <v>3.3000000000000002E-7</v>
      </c>
      <c r="F157">
        <v>3.8157370000000003E-2</v>
      </c>
      <c r="G157">
        <v>2.6776000000000002E-4</v>
      </c>
      <c r="H157">
        <v>2.3858000000000001E-4</v>
      </c>
      <c r="I157">
        <v>2.8227999999999999E-4</v>
      </c>
      <c r="J157">
        <v>6.98674E-3</v>
      </c>
    </row>
    <row r="158" spans="1:10" x14ac:dyDescent="0.3">
      <c r="A158">
        <v>139</v>
      </c>
      <c r="B158">
        <v>690</v>
      </c>
      <c r="C158">
        <v>3.8251000000000002E-4</v>
      </c>
      <c r="D158">
        <v>2.9393000000000003E-4</v>
      </c>
      <c r="E158">
        <v>4.7E-7</v>
      </c>
      <c r="F158">
        <v>4.0180880000000002E-2</v>
      </c>
      <c r="G158">
        <v>3.1058000000000002E-4</v>
      </c>
      <c r="H158">
        <v>2.7727999999999997E-4</v>
      </c>
      <c r="I158">
        <v>3.2719999999999998E-4</v>
      </c>
      <c r="J158">
        <v>6.5208699999999998E-3</v>
      </c>
    </row>
    <row r="159" spans="1:10" x14ac:dyDescent="0.3">
      <c r="A159">
        <v>140</v>
      </c>
      <c r="B159">
        <v>695</v>
      </c>
      <c r="C159">
        <v>3.8116000000000002E-4</v>
      </c>
      <c r="D159">
        <v>3.2168000000000002E-4</v>
      </c>
      <c r="E159">
        <v>5.7999999999999995E-7</v>
      </c>
      <c r="F159">
        <v>3.9410019999999997E-2</v>
      </c>
      <c r="G159">
        <v>3.3966999999999998E-4</v>
      </c>
      <c r="H159">
        <v>3.0368000000000002E-4</v>
      </c>
      <c r="I159">
        <v>3.5739000000000002E-4</v>
      </c>
      <c r="J159">
        <v>5.5983999999999999E-3</v>
      </c>
    </row>
    <row r="160" spans="1:10" x14ac:dyDescent="0.3">
      <c r="A160">
        <v>141</v>
      </c>
      <c r="B160">
        <v>700</v>
      </c>
      <c r="C160">
        <v>3.7982000000000001E-4</v>
      </c>
      <c r="D160">
        <v>3.3589999999999998E-4</v>
      </c>
      <c r="E160">
        <v>5.4000000000000002E-7</v>
      </c>
      <c r="F160">
        <v>3.825373E-2</v>
      </c>
      <c r="G160">
        <v>3.5466000000000002E-4</v>
      </c>
      <c r="H160">
        <v>3.1713999999999999E-4</v>
      </c>
      <c r="I160">
        <v>3.7282E-4</v>
      </c>
      <c r="J160">
        <v>4.58261E-3</v>
      </c>
    </row>
    <row r="161" spans="1:10" x14ac:dyDescent="0.3">
      <c r="A161">
        <v>142</v>
      </c>
      <c r="B161">
        <v>705</v>
      </c>
      <c r="C161">
        <v>3.7848999999999999E-4</v>
      </c>
      <c r="D161">
        <v>3.4629000000000002E-4</v>
      </c>
      <c r="E161">
        <v>6.1999999999999999E-7</v>
      </c>
      <c r="F161">
        <v>4.0855370000000002E-2</v>
      </c>
      <c r="G161">
        <v>3.6589000000000001E-4</v>
      </c>
      <c r="H161">
        <v>3.2668999999999998E-4</v>
      </c>
      <c r="I161">
        <v>3.8443E-4</v>
      </c>
      <c r="J161">
        <v>3.7213200000000002E-3</v>
      </c>
    </row>
    <row r="162" spans="1:10" x14ac:dyDescent="0.3">
      <c r="A162">
        <v>143</v>
      </c>
      <c r="B162">
        <v>710</v>
      </c>
      <c r="C162">
        <v>3.7718000000000002E-4</v>
      </c>
      <c r="D162">
        <v>3.9205000000000002E-4</v>
      </c>
      <c r="E162">
        <v>5.6000000000000004E-7</v>
      </c>
      <c r="F162">
        <v>3.7386519999999999E-2</v>
      </c>
      <c r="G162">
        <v>4.1491E-4</v>
      </c>
      <c r="H162">
        <v>3.6918999999999998E-4</v>
      </c>
      <c r="I162">
        <v>4.3567999999999998E-4</v>
      </c>
      <c r="J162">
        <v>3.2327300000000001E-3</v>
      </c>
    </row>
    <row r="163" spans="1:10" x14ac:dyDescent="0.3">
      <c r="A163">
        <v>144</v>
      </c>
      <c r="B163">
        <v>715</v>
      </c>
      <c r="C163">
        <v>3.7587999999999999E-4</v>
      </c>
      <c r="D163">
        <v>3.6558000000000001E-4</v>
      </c>
      <c r="E163">
        <v>6.0999999999999998E-7</v>
      </c>
      <c r="F163">
        <v>3.9120950000000002E-2</v>
      </c>
      <c r="G163">
        <v>3.8735000000000001E-4</v>
      </c>
      <c r="H163">
        <v>3.4381E-4</v>
      </c>
      <c r="I163">
        <v>4.0665999999999999E-4</v>
      </c>
      <c r="J163">
        <v>2.3404300000000001E-3</v>
      </c>
    </row>
    <row r="164" spans="1:10" x14ac:dyDescent="0.3">
      <c r="A164">
        <v>145</v>
      </c>
      <c r="B164">
        <v>720</v>
      </c>
      <c r="C164">
        <v>3.7459E-4</v>
      </c>
      <c r="D164">
        <v>3.9142000000000002E-4</v>
      </c>
      <c r="E164">
        <v>7.3E-7</v>
      </c>
      <c r="F164">
        <v>4.0951729999999999E-2</v>
      </c>
      <c r="G164">
        <v>4.1505999999999997E-4</v>
      </c>
      <c r="H164">
        <v>3.6779E-4</v>
      </c>
      <c r="I164">
        <v>4.3561000000000001E-4</v>
      </c>
      <c r="J164">
        <v>1.9508399999999999E-3</v>
      </c>
    </row>
    <row r="165" spans="1:10" x14ac:dyDescent="0.3">
      <c r="A165">
        <v>146</v>
      </c>
      <c r="B165">
        <v>725</v>
      </c>
      <c r="C165">
        <v>3.7332000000000001E-4</v>
      </c>
      <c r="D165">
        <v>4.5499000000000001E-4</v>
      </c>
      <c r="E165">
        <v>6.4000000000000001E-7</v>
      </c>
      <c r="F165">
        <v>3.8542809999999997E-2</v>
      </c>
      <c r="G165">
        <v>4.8404999999999998E-4</v>
      </c>
      <c r="H165">
        <v>4.2591999999999999E-4</v>
      </c>
      <c r="I165">
        <v>5.0832000000000004E-4</v>
      </c>
      <c r="J165">
        <v>2.0748400000000001E-3</v>
      </c>
    </row>
    <row r="166" spans="1:10" x14ac:dyDescent="0.3">
      <c r="A166">
        <v>147</v>
      </c>
      <c r="B166">
        <v>730</v>
      </c>
      <c r="C166">
        <v>3.7206000000000001E-4</v>
      </c>
      <c r="D166">
        <v>4.5538000000000002E-4</v>
      </c>
      <c r="E166">
        <v>6.6000000000000003E-7</v>
      </c>
      <c r="F166">
        <v>3.90246E-2</v>
      </c>
      <c r="G166">
        <v>4.8558999999999999E-4</v>
      </c>
      <c r="H166">
        <v>4.2516E-4</v>
      </c>
      <c r="I166">
        <v>5.1035999999999996E-4</v>
      </c>
      <c r="J166">
        <v>1.8053399999999999E-3</v>
      </c>
    </row>
    <row r="167" spans="1:10" x14ac:dyDescent="0.3">
      <c r="A167">
        <v>148</v>
      </c>
      <c r="B167">
        <v>735</v>
      </c>
      <c r="C167">
        <v>3.7082E-4</v>
      </c>
      <c r="D167">
        <v>4.4149E-4</v>
      </c>
      <c r="E167">
        <v>5.9999999999999997E-7</v>
      </c>
      <c r="F167">
        <v>3.6230239999999997E-2</v>
      </c>
      <c r="G167">
        <v>4.7140000000000002E-4</v>
      </c>
      <c r="H167">
        <v>4.1157999999999999E-4</v>
      </c>
      <c r="I167">
        <v>4.9554000000000004E-4</v>
      </c>
      <c r="J167">
        <v>1.5534399999999999E-3</v>
      </c>
    </row>
    <row r="168" spans="1:10" x14ac:dyDescent="0.3">
      <c r="A168">
        <v>149</v>
      </c>
      <c r="B168">
        <v>740</v>
      </c>
      <c r="C168">
        <v>3.6958E-4</v>
      </c>
      <c r="D168">
        <v>4.6599E-4</v>
      </c>
      <c r="E168">
        <v>5.3000000000000001E-7</v>
      </c>
      <c r="F168">
        <v>3.507395E-2</v>
      </c>
      <c r="G168">
        <v>4.9799999999999996E-4</v>
      </c>
      <c r="H168">
        <v>4.3396999999999999E-4</v>
      </c>
      <c r="I168">
        <v>5.2362000000000003E-4</v>
      </c>
      <c r="J168">
        <v>1.6496200000000001E-3</v>
      </c>
    </row>
    <row r="169" spans="1:10" x14ac:dyDescent="0.3">
      <c r="A169">
        <v>150</v>
      </c>
      <c r="B169">
        <v>745</v>
      </c>
      <c r="C169">
        <v>3.6835999999999998E-4</v>
      </c>
      <c r="D169">
        <v>4.2223E-4</v>
      </c>
      <c r="E169">
        <v>6.4000000000000001E-7</v>
      </c>
      <c r="F169">
        <v>4.143351E-2</v>
      </c>
      <c r="G169">
        <v>4.5163000000000001E-4</v>
      </c>
      <c r="H169">
        <v>3.9283999999999999E-4</v>
      </c>
      <c r="I169">
        <v>4.7492999999999998E-4</v>
      </c>
      <c r="J169">
        <v>1.62867E-3</v>
      </c>
    </row>
    <row r="170" spans="1:10" x14ac:dyDescent="0.3">
      <c r="A170">
        <v>151</v>
      </c>
      <c r="B170">
        <v>750</v>
      </c>
      <c r="C170">
        <v>3.6715000000000001E-4</v>
      </c>
      <c r="D170">
        <v>4.1071E-4</v>
      </c>
      <c r="E170">
        <v>6.6000000000000003E-7</v>
      </c>
      <c r="F170">
        <v>4.3649729999999998E-2</v>
      </c>
      <c r="G170">
        <v>4.3969000000000001E-4</v>
      </c>
      <c r="H170">
        <v>3.8172999999999999E-4</v>
      </c>
      <c r="I170">
        <v>4.6249000000000003E-4</v>
      </c>
      <c r="J170">
        <v>1.686E-3</v>
      </c>
    </row>
    <row r="171" spans="1:10" x14ac:dyDescent="0.3">
      <c r="A171">
        <v>152</v>
      </c>
      <c r="B171">
        <v>755</v>
      </c>
      <c r="C171">
        <v>3.6596000000000003E-4</v>
      </c>
      <c r="D171">
        <v>3.6382999999999999E-4</v>
      </c>
      <c r="E171">
        <v>5.5000000000000003E-7</v>
      </c>
      <c r="F171">
        <v>4.05663E-2</v>
      </c>
      <c r="G171">
        <v>3.8975000000000001E-4</v>
      </c>
      <c r="H171">
        <v>3.3792000000000002E-4</v>
      </c>
      <c r="I171">
        <v>4.1000999999999999E-4</v>
      </c>
      <c r="J171">
        <v>1.50281E-3</v>
      </c>
    </row>
    <row r="172" spans="1:10" x14ac:dyDescent="0.3">
      <c r="A172">
        <v>153</v>
      </c>
      <c r="B172">
        <v>760</v>
      </c>
      <c r="C172">
        <v>3.6476999999999999E-4</v>
      </c>
      <c r="D172">
        <v>3.4340999999999999E-4</v>
      </c>
      <c r="E172">
        <v>5.8999999999999996E-7</v>
      </c>
      <c r="F172">
        <v>4.2204369999999998E-2</v>
      </c>
      <c r="G172">
        <v>3.6820000000000001E-4</v>
      </c>
      <c r="H172">
        <v>3.1861999999999998E-4</v>
      </c>
      <c r="I172">
        <v>3.8739999999999998E-4</v>
      </c>
      <c r="J172">
        <v>1.3439599999999999E-3</v>
      </c>
    </row>
    <row r="173" spans="1:10" x14ac:dyDescent="0.3">
      <c r="A173">
        <v>154</v>
      </c>
      <c r="B173">
        <v>765</v>
      </c>
      <c r="C173">
        <v>3.636E-4</v>
      </c>
      <c r="D173">
        <v>3.6117000000000001E-4</v>
      </c>
      <c r="E173">
        <v>5.7000000000000005E-7</v>
      </c>
      <c r="F173">
        <v>3.9699089999999999E-2</v>
      </c>
      <c r="G173">
        <v>3.8758999999999999E-4</v>
      </c>
      <c r="H173">
        <v>3.3474999999999998E-4</v>
      </c>
      <c r="I173">
        <v>4.0787000000000001E-4</v>
      </c>
      <c r="J173">
        <v>1.29385E-3</v>
      </c>
    </row>
    <row r="174" spans="1:10" x14ac:dyDescent="0.3">
      <c r="A174">
        <v>155</v>
      </c>
      <c r="B174">
        <v>770</v>
      </c>
      <c r="C174">
        <v>3.6244000000000001E-4</v>
      </c>
      <c r="D174">
        <v>3.77E-4</v>
      </c>
      <c r="E174">
        <v>4.8999999999999997E-7</v>
      </c>
      <c r="F174">
        <v>3.6712019999999998E-2</v>
      </c>
      <c r="G174">
        <v>4.0498999999999998E-4</v>
      </c>
      <c r="H174">
        <v>3.4902000000000002E-4</v>
      </c>
      <c r="I174">
        <v>4.2592999999999998E-4</v>
      </c>
      <c r="J174">
        <v>1.22473E-3</v>
      </c>
    </row>
    <row r="175" spans="1:10" x14ac:dyDescent="0.3">
      <c r="A175">
        <v>156</v>
      </c>
      <c r="B175">
        <v>775</v>
      </c>
      <c r="C175">
        <v>3.6129000000000001E-4</v>
      </c>
      <c r="D175">
        <v>3.5269000000000001E-4</v>
      </c>
      <c r="E175">
        <v>5.3000000000000001E-7</v>
      </c>
      <c r="F175">
        <v>3.8350090000000003E-2</v>
      </c>
      <c r="G175">
        <v>3.7922999999999999E-4</v>
      </c>
      <c r="H175">
        <v>3.2613999999999999E-4</v>
      </c>
      <c r="I175">
        <v>3.9877000000000001E-4</v>
      </c>
      <c r="J175">
        <v>1.0096300000000001E-3</v>
      </c>
    </row>
    <row r="176" spans="1:10" x14ac:dyDescent="0.3">
      <c r="A176">
        <v>157</v>
      </c>
      <c r="B176">
        <v>780</v>
      </c>
      <c r="C176">
        <v>3.6015E-4</v>
      </c>
      <c r="D176">
        <v>4.0255999999999999E-4</v>
      </c>
      <c r="E176">
        <v>4.7999999999999996E-7</v>
      </c>
      <c r="F176">
        <v>3.5748450000000001E-2</v>
      </c>
      <c r="G176">
        <v>4.3302E-4</v>
      </c>
      <c r="H176">
        <v>3.7210999999999999E-4</v>
      </c>
      <c r="I176">
        <v>4.5521E-4</v>
      </c>
      <c r="J176">
        <v>9.9350000000000003E-4</v>
      </c>
    </row>
    <row r="177" spans="1:10" x14ac:dyDescent="0.3">
      <c r="A177">
        <v>158</v>
      </c>
      <c r="B177">
        <v>785</v>
      </c>
      <c r="C177">
        <v>3.5901999999999999E-4</v>
      </c>
      <c r="D177">
        <v>3.9438E-4</v>
      </c>
      <c r="E177">
        <v>5.0999999999999999E-7</v>
      </c>
      <c r="F177">
        <v>3.7097449999999997E-2</v>
      </c>
      <c r="G177">
        <v>4.2467999999999998E-4</v>
      </c>
      <c r="H177">
        <v>3.6409000000000002E-4</v>
      </c>
      <c r="I177">
        <v>4.4626000000000003E-4</v>
      </c>
      <c r="J177">
        <v>8.4411000000000002E-4</v>
      </c>
    </row>
    <row r="178" spans="1:10" x14ac:dyDescent="0.3">
      <c r="A178">
        <v>159</v>
      </c>
      <c r="B178">
        <v>790</v>
      </c>
      <c r="C178">
        <v>3.5790000000000003E-4</v>
      </c>
      <c r="D178">
        <v>3.7160999999999997E-4</v>
      </c>
      <c r="E178">
        <v>5.5000000000000003E-7</v>
      </c>
      <c r="F178">
        <v>3.8831869999999998E-2</v>
      </c>
      <c r="G178">
        <v>4.0060999999999997E-4</v>
      </c>
      <c r="H178">
        <v>3.4260999999999997E-4</v>
      </c>
      <c r="I178">
        <v>4.2094000000000002E-4</v>
      </c>
      <c r="J178">
        <v>6.7279000000000004E-4</v>
      </c>
    </row>
    <row r="179" spans="1:10" x14ac:dyDescent="0.3">
      <c r="A179">
        <v>160</v>
      </c>
      <c r="B179">
        <v>795</v>
      </c>
      <c r="C179">
        <v>3.5679E-4</v>
      </c>
      <c r="D179">
        <v>3.8005999999999999E-4</v>
      </c>
      <c r="E179">
        <v>5.0999999999999999E-7</v>
      </c>
      <c r="F179">
        <v>3.7675590000000002E-2</v>
      </c>
      <c r="G179">
        <v>4.1037000000000002E-4</v>
      </c>
      <c r="H179">
        <v>3.4976000000000001E-4</v>
      </c>
      <c r="I179">
        <v>4.3134E-4</v>
      </c>
      <c r="J179">
        <v>5.6784999999999995E-4</v>
      </c>
    </row>
    <row r="180" spans="1:10" x14ac:dyDescent="0.3">
      <c r="A180">
        <v>161</v>
      </c>
      <c r="B180">
        <v>800</v>
      </c>
      <c r="C180">
        <v>3.5568999999999998E-4</v>
      </c>
      <c r="D180">
        <v>4.1418999999999999E-4</v>
      </c>
      <c r="E180">
        <v>4.5999999999999999E-7</v>
      </c>
      <c r="F180">
        <v>3.468852E-2</v>
      </c>
      <c r="G180">
        <v>4.4798E-4</v>
      </c>
      <c r="H180">
        <v>3.8038999999999998E-4</v>
      </c>
      <c r="I180">
        <v>4.7092999999999999E-4</v>
      </c>
      <c r="J180">
        <v>5.1477000000000001E-4</v>
      </c>
    </row>
    <row r="181" spans="1:10" x14ac:dyDescent="0.3">
      <c r="A181">
        <v>162</v>
      </c>
      <c r="B181">
        <v>805</v>
      </c>
      <c r="C181">
        <v>3.546E-4</v>
      </c>
      <c r="D181">
        <v>3.1157999999999999E-4</v>
      </c>
      <c r="E181">
        <v>5.5000000000000003E-7</v>
      </c>
      <c r="F181">
        <v>4.0277229999999997E-2</v>
      </c>
      <c r="G181">
        <v>3.3741000000000001E-4</v>
      </c>
      <c r="H181">
        <v>2.8574999999999998E-4</v>
      </c>
      <c r="I181">
        <v>3.5464999999999997E-4</v>
      </c>
      <c r="J181">
        <v>3.1515999999999998E-4</v>
      </c>
    </row>
    <row r="182" spans="1:10" x14ac:dyDescent="0.3">
      <c r="A182">
        <v>163</v>
      </c>
      <c r="B182">
        <v>810</v>
      </c>
      <c r="C182">
        <v>3.5353000000000001E-4</v>
      </c>
      <c r="D182">
        <v>3.3998999999999998E-4</v>
      </c>
      <c r="E182">
        <v>5.2E-7</v>
      </c>
      <c r="F182">
        <v>3.9217299999999997E-2</v>
      </c>
      <c r="G182">
        <v>3.6864999999999999E-4</v>
      </c>
      <c r="H182">
        <v>3.1134000000000001E-4</v>
      </c>
      <c r="I182">
        <v>3.8774000000000002E-4</v>
      </c>
      <c r="J182">
        <v>2.6302999999999998E-4</v>
      </c>
    </row>
    <row r="183" spans="1:10" x14ac:dyDescent="0.3">
      <c r="A183">
        <v>164</v>
      </c>
      <c r="B183">
        <v>815</v>
      </c>
      <c r="C183">
        <v>3.5246000000000002E-4</v>
      </c>
      <c r="D183">
        <v>3.7830999999999997E-4</v>
      </c>
      <c r="E183">
        <v>4.4999999999999998E-7</v>
      </c>
      <c r="F183">
        <v>3.5555730000000001E-2</v>
      </c>
      <c r="G183">
        <v>4.1093999999999999E-4</v>
      </c>
      <c r="H183">
        <v>3.4569000000000001E-4</v>
      </c>
      <c r="I183">
        <v>4.3256000000000002E-4</v>
      </c>
      <c r="J183">
        <v>2.2812E-4</v>
      </c>
    </row>
    <row r="184" spans="1:10" x14ac:dyDescent="0.3">
      <c r="A184">
        <v>165</v>
      </c>
      <c r="B184">
        <v>820</v>
      </c>
      <c r="C184">
        <v>3.5139999999999998E-4</v>
      </c>
      <c r="D184">
        <v>3.7242999999999998E-4</v>
      </c>
      <c r="E184">
        <v>4.4999999999999998E-7</v>
      </c>
      <c r="F184">
        <v>3.4110389999999997E-2</v>
      </c>
      <c r="G184">
        <v>4.0520999999999998E-4</v>
      </c>
      <c r="H184">
        <v>3.3963999999999999E-4</v>
      </c>
      <c r="I184">
        <v>4.2682000000000001E-4</v>
      </c>
      <c r="J184">
        <v>1.7636E-4</v>
      </c>
    </row>
    <row r="185" spans="1:10" x14ac:dyDescent="0.3">
      <c r="A185">
        <v>166</v>
      </c>
      <c r="B185">
        <v>825</v>
      </c>
      <c r="C185">
        <v>3.5034999999999998E-4</v>
      </c>
      <c r="D185">
        <v>3.3886000000000002E-4</v>
      </c>
      <c r="E185">
        <v>4.2E-7</v>
      </c>
      <c r="F185">
        <v>3.468852E-2</v>
      </c>
      <c r="G185">
        <v>3.6926E-4</v>
      </c>
      <c r="H185">
        <v>3.0845999999999998E-4</v>
      </c>
      <c r="I185">
        <v>3.8917999999999998E-4</v>
      </c>
      <c r="J185">
        <v>1.2561000000000001E-4</v>
      </c>
    </row>
    <row r="186" spans="1:10" x14ac:dyDescent="0.3">
      <c r="A186">
        <v>167</v>
      </c>
      <c r="B186">
        <v>830</v>
      </c>
      <c r="C186">
        <v>3.4932000000000002E-4</v>
      </c>
      <c r="D186">
        <v>3.4923000000000002E-4</v>
      </c>
      <c r="E186">
        <v>3.8000000000000001E-7</v>
      </c>
      <c r="F186">
        <v>3.362859E-2</v>
      </c>
      <c r="G186">
        <v>3.8114000000000003E-4</v>
      </c>
      <c r="H186">
        <v>3.1732E-4</v>
      </c>
      <c r="I186">
        <v>4.0182E-4</v>
      </c>
      <c r="J186">
        <v>1.0533E-4</v>
      </c>
    </row>
    <row r="187" spans="1:10" x14ac:dyDescent="0.3">
      <c r="A187">
        <v>168</v>
      </c>
      <c r="B187">
        <v>835</v>
      </c>
      <c r="C187">
        <v>3.4829000000000001E-4</v>
      </c>
      <c r="D187">
        <v>3.5117999999999998E-4</v>
      </c>
      <c r="E187">
        <v>4.2E-7</v>
      </c>
      <c r="F187">
        <v>3.5652089999999997E-2</v>
      </c>
      <c r="G187">
        <v>3.8397000000000003E-4</v>
      </c>
      <c r="H187">
        <v>3.1838E-4</v>
      </c>
      <c r="I187">
        <v>4.0485E-4</v>
      </c>
      <c r="J187">
        <v>9.2369999999999998E-5</v>
      </c>
    </row>
    <row r="188" spans="1:10" x14ac:dyDescent="0.3">
      <c r="A188">
        <v>169</v>
      </c>
      <c r="B188">
        <v>840</v>
      </c>
      <c r="C188">
        <v>3.4727E-4</v>
      </c>
      <c r="D188">
        <v>3.5725999999999998E-4</v>
      </c>
      <c r="E188">
        <v>3.9999999999999998E-7</v>
      </c>
      <c r="F188">
        <v>3.4206739999999999E-2</v>
      </c>
      <c r="G188">
        <v>3.9107999999999998E-4</v>
      </c>
      <c r="H188">
        <v>3.2342999999999998E-4</v>
      </c>
      <c r="I188">
        <v>4.1238000000000001E-4</v>
      </c>
      <c r="J188">
        <v>9.1279999999999993E-5</v>
      </c>
    </row>
    <row r="189" spans="1:10" x14ac:dyDescent="0.3">
      <c r="A189">
        <v>170</v>
      </c>
      <c r="B189">
        <v>845</v>
      </c>
      <c r="C189">
        <v>3.4624999999999999E-4</v>
      </c>
      <c r="D189">
        <v>3.4823999999999999E-4</v>
      </c>
      <c r="E189">
        <v>3.7E-7</v>
      </c>
      <c r="F189">
        <v>3.3050459999999997E-2</v>
      </c>
      <c r="G189">
        <v>3.815E-4</v>
      </c>
      <c r="H189">
        <v>3.1498000000000002E-4</v>
      </c>
      <c r="I189">
        <v>4.0216999999999998E-4</v>
      </c>
      <c r="J189">
        <v>9.3109999999999995E-5</v>
      </c>
    </row>
    <row r="190" spans="1:10" x14ac:dyDescent="0.3">
      <c r="A190">
        <v>171</v>
      </c>
      <c r="B190">
        <v>850</v>
      </c>
      <c r="C190">
        <v>3.4525000000000002E-4</v>
      </c>
      <c r="D190">
        <v>3.8275000000000001E-4</v>
      </c>
      <c r="E190">
        <v>3.5999999999999999E-7</v>
      </c>
      <c r="F190">
        <v>3.2086879999999998E-2</v>
      </c>
      <c r="G190">
        <v>4.1973999999999999E-4</v>
      </c>
      <c r="H190">
        <v>3.4574999999999997E-4</v>
      </c>
      <c r="I190">
        <v>4.4237999999999998E-4</v>
      </c>
      <c r="J190">
        <v>1.1241E-4</v>
      </c>
    </row>
    <row r="191" spans="1:10" x14ac:dyDescent="0.3">
      <c r="A191">
        <v>172</v>
      </c>
      <c r="B191">
        <v>855</v>
      </c>
      <c r="C191">
        <v>3.4425999999999999E-4</v>
      </c>
      <c r="D191">
        <v>3.4058999999999999E-4</v>
      </c>
      <c r="E191">
        <v>3.2000000000000001E-7</v>
      </c>
      <c r="F191">
        <v>3.0256109999999999E-2</v>
      </c>
      <c r="G191">
        <v>3.7408999999999999E-4</v>
      </c>
      <c r="H191">
        <v>3.0709999999999998E-4</v>
      </c>
      <c r="I191">
        <v>3.9408999999999999E-4</v>
      </c>
      <c r="J191">
        <v>1.1751E-4</v>
      </c>
    </row>
    <row r="192" spans="1:10" x14ac:dyDescent="0.3">
      <c r="A192">
        <v>173</v>
      </c>
      <c r="B192">
        <v>860</v>
      </c>
      <c r="C192">
        <v>3.4327000000000001E-4</v>
      </c>
      <c r="D192">
        <v>3.3197000000000001E-4</v>
      </c>
      <c r="E192">
        <v>2.9999999999999999E-7</v>
      </c>
      <c r="F192">
        <v>2.967796E-2</v>
      </c>
      <c r="G192">
        <v>3.6516000000000001E-4</v>
      </c>
      <c r="H192">
        <v>2.9879E-4</v>
      </c>
      <c r="I192">
        <v>3.8444999999999999E-4</v>
      </c>
      <c r="J192">
        <v>1.3106000000000001E-4</v>
      </c>
    </row>
    <row r="193" spans="1:10" x14ac:dyDescent="0.3">
      <c r="A193">
        <v>174</v>
      </c>
      <c r="B193">
        <v>865</v>
      </c>
      <c r="C193">
        <v>3.4230000000000003E-4</v>
      </c>
      <c r="D193">
        <v>3.6374999999999998E-4</v>
      </c>
      <c r="E193">
        <v>3.2000000000000001E-7</v>
      </c>
      <c r="F193">
        <v>3.0159749999999999E-2</v>
      </c>
      <c r="G193">
        <v>4.0064000000000001E-4</v>
      </c>
      <c r="H193">
        <v>3.2686999999999999E-4</v>
      </c>
      <c r="I193">
        <v>4.2162999999999999E-4</v>
      </c>
      <c r="J193">
        <v>1.6217E-4</v>
      </c>
    </row>
    <row r="194" spans="1:10" x14ac:dyDescent="0.3">
      <c r="A194">
        <v>175</v>
      </c>
      <c r="B194">
        <v>870</v>
      </c>
      <c r="C194">
        <v>3.4132999999999999E-4</v>
      </c>
      <c r="D194">
        <v>3.5953999999999999E-4</v>
      </c>
      <c r="E194">
        <v>3.3000000000000002E-7</v>
      </c>
      <c r="F194">
        <v>3.064153E-2</v>
      </c>
      <c r="G194">
        <v>3.9617E-4</v>
      </c>
      <c r="H194">
        <v>3.2291999999999998E-4</v>
      </c>
      <c r="I194">
        <v>4.1677000000000001E-4</v>
      </c>
      <c r="J194">
        <v>1.74E-4</v>
      </c>
    </row>
    <row r="195" spans="1:10" x14ac:dyDescent="0.3">
      <c r="A195">
        <v>176</v>
      </c>
      <c r="B195">
        <v>875</v>
      </c>
      <c r="C195">
        <v>3.4037E-4</v>
      </c>
      <c r="D195">
        <v>3.0708999999999999E-4</v>
      </c>
      <c r="E195">
        <v>3.3000000000000002E-7</v>
      </c>
      <c r="F195">
        <v>3.2279599999999999E-2</v>
      </c>
      <c r="G195">
        <v>3.3848E-4</v>
      </c>
      <c r="H195">
        <v>2.7569999999999998E-4</v>
      </c>
      <c r="I195">
        <v>3.5599999999999998E-4</v>
      </c>
      <c r="J195">
        <v>1.5705999999999999E-4</v>
      </c>
    </row>
    <row r="196" spans="1:10" x14ac:dyDescent="0.3">
      <c r="A196">
        <v>177</v>
      </c>
      <c r="B196">
        <v>880</v>
      </c>
      <c r="C196">
        <v>3.3942E-4</v>
      </c>
      <c r="D196">
        <v>3.5073999999999999E-4</v>
      </c>
      <c r="E196">
        <v>3.1E-7</v>
      </c>
      <c r="F196">
        <v>3.0256109999999999E-2</v>
      </c>
      <c r="G196">
        <v>3.8680000000000002E-4</v>
      </c>
      <c r="H196">
        <v>3.1467000000000002E-4</v>
      </c>
      <c r="I196">
        <v>4.0687999999999998E-4</v>
      </c>
      <c r="J196">
        <v>1.85E-4</v>
      </c>
    </row>
    <row r="197" spans="1:10" x14ac:dyDescent="0.3">
      <c r="A197">
        <v>178</v>
      </c>
      <c r="B197">
        <v>885</v>
      </c>
      <c r="C197">
        <v>3.3847E-4</v>
      </c>
      <c r="D197">
        <v>3.5775999999999999E-4</v>
      </c>
      <c r="E197">
        <v>2.7000000000000001E-7</v>
      </c>
      <c r="F197">
        <v>2.6787249999999999E-2</v>
      </c>
      <c r="G197">
        <v>3.9484999999999998E-4</v>
      </c>
      <c r="H197">
        <v>3.2066000000000001E-4</v>
      </c>
      <c r="I197">
        <v>4.1557999999999998E-4</v>
      </c>
      <c r="J197">
        <v>1.8921000000000001E-4</v>
      </c>
    </row>
    <row r="198" spans="1:10" x14ac:dyDescent="0.3">
      <c r="A198">
        <v>179</v>
      </c>
      <c r="B198">
        <v>890</v>
      </c>
      <c r="C198">
        <v>3.3754E-4</v>
      </c>
      <c r="D198">
        <v>3.1469000000000001E-4</v>
      </c>
      <c r="E198">
        <v>2.4999999999999999E-7</v>
      </c>
      <c r="F198">
        <v>2.6787249999999999E-2</v>
      </c>
      <c r="G198">
        <v>3.4771999999999998E-4</v>
      </c>
      <c r="H198">
        <v>2.8164999999999999E-4</v>
      </c>
      <c r="I198">
        <v>3.6622E-4</v>
      </c>
      <c r="J198">
        <v>1.6501999999999999E-4</v>
      </c>
    </row>
    <row r="199" spans="1:10" x14ac:dyDescent="0.3">
      <c r="A199">
        <v>180</v>
      </c>
      <c r="B199">
        <v>895</v>
      </c>
      <c r="C199">
        <v>3.3660999999999999E-4</v>
      </c>
      <c r="D199">
        <v>2.8067000000000001E-4</v>
      </c>
      <c r="E199">
        <v>2.3999999999999998E-7</v>
      </c>
      <c r="F199">
        <v>2.7172680000000001E-2</v>
      </c>
      <c r="G199">
        <v>3.1065999999999998E-4</v>
      </c>
      <c r="H199">
        <v>2.5067999999999998E-4</v>
      </c>
      <c r="I199">
        <v>3.2752999999999998E-4</v>
      </c>
      <c r="J199">
        <v>1.429E-4</v>
      </c>
    </row>
    <row r="200" spans="1:10" x14ac:dyDescent="0.3">
      <c r="A200">
        <v>181</v>
      </c>
      <c r="B200">
        <v>900</v>
      </c>
      <c r="C200">
        <v>3.3568999999999998E-4</v>
      </c>
      <c r="D200">
        <v>3.2864E-4</v>
      </c>
      <c r="E200">
        <v>2.8999999999999998E-7</v>
      </c>
      <c r="F200">
        <v>2.967796E-2</v>
      </c>
      <c r="G200">
        <v>3.6400000000000001E-4</v>
      </c>
      <c r="H200">
        <v>2.9326999999999999E-4</v>
      </c>
      <c r="I200">
        <v>3.8412E-4</v>
      </c>
      <c r="J200">
        <v>1.604E-4</v>
      </c>
    </row>
    <row r="201" spans="1:10" x14ac:dyDescent="0.3">
      <c r="A201">
        <v>182</v>
      </c>
      <c r="B201">
        <v>905</v>
      </c>
      <c r="C201">
        <v>3.3478000000000002E-4</v>
      </c>
      <c r="D201">
        <v>4.0181E-4</v>
      </c>
      <c r="E201">
        <v>2.7000000000000001E-7</v>
      </c>
      <c r="F201">
        <v>2.7654459999999999E-2</v>
      </c>
      <c r="G201">
        <v>4.4587000000000001E-4</v>
      </c>
      <c r="H201">
        <v>3.5775E-4</v>
      </c>
      <c r="I201">
        <v>4.7059000000000001E-4</v>
      </c>
      <c r="J201">
        <v>1.8672E-4</v>
      </c>
    </row>
    <row r="202" spans="1:10" x14ac:dyDescent="0.3">
      <c r="A202">
        <v>183</v>
      </c>
      <c r="B202">
        <v>910</v>
      </c>
      <c r="C202">
        <v>3.3387E-4</v>
      </c>
      <c r="D202">
        <v>4.1255000000000003E-4</v>
      </c>
      <c r="E202">
        <v>2.7000000000000001E-7</v>
      </c>
      <c r="F202">
        <v>2.8039890000000001E-2</v>
      </c>
      <c r="G202">
        <v>4.5909E-4</v>
      </c>
      <c r="H202">
        <v>3.6600000000000001E-4</v>
      </c>
      <c r="I202">
        <v>4.8464999999999999E-4</v>
      </c>
      <c r="J202">
        <v>1.8227E-4</v>
      </c>
    </row>
    <row r="203" spans="1:10" x14ac:dyDescent="0.3">
      <c r="A203">
        <v>184</v>
      </c>
      <c r="B203">
        <v>915</v>
      </c>
      <c r="C203">
        <v>3.3296999999999998E-4</v>
      </c>
      <c r="D203">
        <v>3.8737999999999999E-4</v>
      </c>
      <c r="E203">
        <v>2.6E-7</v>
      </c>
      <c r="F203">
        <v>2.7269040000000001E-2</v>
      </c>
      <c r="G203">
        <v>4.3241999999999998E-4</v>
      </c>
      <c r="H203">
        <v>3.4233000000000001E-4</v>
      </c>
      <c r="I203">
        <v>4.5660999999999998E-4</v>
      </c>
      <c r="J203">
        <v>1.6453E-4</v>
      </c>
    </row>
    <row r="204" spans="1:10" x14ac:dyDescent="0.3">
      <c r="A204">
        <v>185</v>
      </c>
      <c r="B204">
        <v>920</v>
      </c>
      <c r="C204">
        <v>3.3208000000000001E-4</v>
      </c>
      <c r="D204">
        <v>3.2577000000000002E-4</v>
      </c>
      <c r="E204">
        <v>2.2999999999999999E-7</v>
      </c>
      <c r="F204">
        <v>2.5727320000000001E-2</v>
      </c>
      <c r="G204">
        <v>3.6476E-4</v>
      </c>
      <c r="H204">
        <v>2.8677999999999999E-4</v>
      </c>
      <c r="I204">
        <v>3.8504000000000001E-4</v>
      </c>
      <c r="J204">
        <v>1.3572000000000001E-4</v>
      </c>
    </row>
    <row r="205" spans="1:10" x14ac:dyDescent="0.3">
      <c r="A205">
        <v>186</v>
      </c>
      <c r="B205">
        <v>925</v>
      </c>
      <c r="C205">
        <v>3.3119999999999997E-4</v>
      </c>
      <c r="D205">
        <v>3.1498000000000002E-4</v>
      </c>
      <c r="E205">
        <v>1.8E-7</v>
      </c>
      <c r="F205">
        <v>2.365565E-2</v>
      </c>
      <c r="G205">
        <v>3.5359999999999998E-4</v>
      </c>
      <c r="H205">
        <v>2.7636000000000002E-4</v>
      </c>
      <c r="I205">
        <v>3.7315999999999998E-4</v>
      </c>
      <c r="J205">
        <v>1.3051999999999999E-4</v>
      </c>
    </row>
    <row r="206" spans="1:10" x14ac:dyDescent="0.3">
      <c r="A206">
        <v>187</v>
      </c>
      <c r="B206">
        <v>930</v>
      </c>
      <c r="C206">
        <v>3.3032E-4</v>
      </c>
      <c r="D206">
        <v>3.277E-4</v>
      </c>
      <c r="E206">
        <v>1.8E-7</v>
      </c>
      <c r="F206">
        <v>2.3607469999999998E-2</v>
      </c>
      <c r="G206">
        <v>3.6831E-4</v>
      </c>
      <c r="H206">
        <v>2.8708999999999999E-4</v>
      </c>
      <c r="I206">
        <v>3.8858000000000002E-4</v>
      </c>
      <c r="J206">
        <v>1.3693000000000001E-4</v>
      </c>
    </row>
    <row r="207" spans="1:10" x14ac:dyDescent="0.3">
      <c r="A207">
        <v>188</v>
      </c>
      <c r="B207">
        <v>935</v>
      </c>
      <c r="C207">
        <v>3.2945000000000001E-4</v>
      </c>
      <c r="D207">
        <v>2.652E-4</v>
      </c>
      <c r="E207">
        <v>1.9999999999999999E-7</v>
      </c>
      <c r="F207">
        <v>2.5727320000000001E-2</v>
      </c>
      <c r="G207">
        <v>2.9836000000000001E-4</v>
      </c>
      <c r="H207">
        <v>2.3205E-4</v>
      </c>
      <c r="I207">
        <v>3.1463999999999998E-4</v>
      </c>
      <c r="J207">
        <v>1.1461E-4</v>
      </c>
    </row>
    <row r="208" spans="1:10" x14ac:dyDescent="0.3">
      <c r="A208">
        <v>189</v>
      </c>
      <c r="B208">
        <v>940</v>
      </c>
      <c r="C208">
        <v>3.2859000000000002E-4</v>
      </c>
      <c r="D208">
        <v>2.8971999999999998E-4</v>
      </c>
      <c r="E208">
        <v>2.1E-7</v>
      </c>
      <c r="F208">
        <v>2.5920039999999998E-2</v>
      </c>
      <c r="G208">
        <v>3.2615999999999998E-4</v>
      </c>
      <c r="H208">
        <v>2.5327999999999999E-4</v>
      </c>
      <c r="I208">
        <v>3.4382999999999999E-4</v>
      </c>
      <c r="J208">
        <v>1.3331000000000001E-4</v>
      </c>
    </row>
    <row r="209" spans="1:10" x14ac:dyDescent="0.3">
      <c r="A209">
        <v>190</v>
      </c>
      <c r="B209">
        <v>945</v>
      </c>
      <c r="C209">
        <v>3.2773999999999998E-4</v>
      </c>
      <c r="D209">
        <v>3.3979000000000002E-4</v>
      </c>
      <c r="E209">
        <v>1.6999999999999999E-7</v>
      </c>
      <c r="F209">
        <v>2.2258469999999999E-2</v>
      </c>
      <c r="G209">
        <v>3.8284000000000001E-4</v>
      </c>
      <c r="H209">
        <v>2.9672999999999999E-4</v>
      </c>
      <c r="I209">
        <v>4.0326000000000001E-4</v>
      </c>
      <c r="J209">
        <v>1.66E-4</v>
      </c>
    </row>
    <row r="210" spans="1:10" x14ac:dyDescent="0.3">
      <c r="A210">
        <v>191</v>
      </c>
      <c r="B210">
        <v>950</v>
      </c>
      <c r="C210">
        <v>3.2688999999999998E-4</v>
      </c>
      <c r="D210">
        <v>3.4686E-4</v>
      </c>
      <c r="E210">
        <v>1.4999999999999999E-7</v>
      </c>
      <c r="F210">
        <v>2.1198539999999998E-2</v>
      </c>
      <c r="G210">
        <v>3.9135E-4</v>
      </c>
      <c r="H210">
        <v>3.0237999999999999E-4</v>
      </c>
      <c r="I210">
        <v>4.1187E-4</v>
      </c>
      <c r="J210">
        <v>1.7173000000000001E-4</v>
      </c>
    </row>
    <row r="211" spans="1:10" x14ac:dyDescent="0.3">
      <c r="A211">
        <v>192</v>
      </c>
      <c r="B211">
        <v>955</v>
      </c>
      <c r="C211">
        <v>3.2603999999999999E-4</v>
      </c>
      <c r="D211">
        <v>3.3083E-4</v>
      </c>
      <c r="E211">
        <v>1.4999999999999999E-7</v>
      </c>
      <c r="F211">
        <v>2.1054010000000001E-2</v>
      </c>
      <c r="G211">
        <v>3.7415000000000001E-4</v>
      </c>
      <c r="H211">
        <v>2.8750999999999999E-4</v>
      </c>
      <c r="I211">
        <v>3.9322000000000001E-4</v>
      </c>
      <c r="J211">
        <v>1.5353E-4</v>
      </c>
    </row>
    <row r="212" spans="1:10" x14ac:dyDescent="0.3">
      <c r="A212">
        <v>193</v>
      </c>
      <c r="B212">
        <v>960</v>
      </c>
      <c r="C212">
        <v>3.2520999999999998E-4</v>
      </c>
      <c r="D212">
        <v>3.1532000000000001E-4</v>
      </c>
      <c r="E212">
        <v>1.3E-7</v>
      </c>
      <c r="F212">
        <v>2.0427689999999998E-2</v>
      </c>
      <c r="G212">
        <v>3.5761000000000001E-4</v>
      </c>
      <c r="H212">
        <v>2.7303000000000001E-4</v>
      </c>
      <c r="I212">
        <v>3.7540000000000002E-4</v>
      </c>
      <c r="J212">
        <v>1.2748999999999999E-4</v>
      </c>
    </row>
    <row r="213" spans="1:10" x14ac:dyDescent="0.3">
      <c r="A213">
        <v>194</v>
      </c>
      <c r="B213">
        <v>965</v>
      </c>
      <c r="C213">
        <v>3.2437999999999998E-4</v>
      </c>
      <c r="D213">
        <v>3.0034000000000001E-4</v>
      </c>
      <c r="E213">
        <v>1.4000000000000001E-7</v>
      </c>
      <c r="F213">
        <v>2.1535789999999999E-2</v>
      </c>
      <c r="G213">
        <v>3.4169000000000002E-4</v>
      </c>
      <c r="H213">
        <v>2.5900000000000001E-4</v>
      </c>
      <c r="I213">
        <v>3.5839999999999998E-4</v>
      </c>
      <c r="J213">
        <v>9.9450000000000005E-5</v>
      </c>
    </row>
    <row r="214" spans="1:10" x14ac:dyDescent="0.3">
      <c r="A214">
        <v>195</v>
      </c>
      <c r="B214">
        <v>970</v>
      </c>
      <c r="C214">
        <v>3.2356000000000003E-4</v>
      </c>
      <c r="D214">
        <v>3.1773000000000001E-4</v>
      </c>
      <c r="E214">
        <v>1.4999999999999999E-7</v>
      </c>
      <c r="F214">
        <v>2.19694E-2</v>
      </c>
      <c r="G214">
        <v>3.6256E-4</v>
      </c>
      <c r="H214">
        <v>2.7291000000000001E-4</v>
      </c>
      <c r="I214">
        <v>3.8017999999999998E-4</v>
      </c>
      <c r="J214">
        <v>8.3599999999999999E-5</v>
      </c>
    </row>
    <row r="215" spans="1:10" x14ac:dyDescent="0.3">
      <c r="A215">
        <v>196</v>
      </c>
      <c r="B215">
        <v>975</v>
      </c>
      <c r="C215">
        <v>3.2274000000000002E-4</v>
      </c>
      <c r="D215">
        <v>3.7359999999999997E-4</v>
      </c>
      <c r="E215">
        <v>1.4000000000000001E-7</v>
      </c>
      <c r="F215">
        <v>2.0909469999999999E-2</v>
      </c>
      <c r="G215">
        <v>4.2731000000000003E-4</v>
      </c>
      <c r="H215">
        <v>3.1987999999999998E-4</v>
      </c>
      <c r="I215">
        <v>4.4809E-4</v>
      </c>
      <c r="J215">
        <v>8.051E-5</v>
      </c>
    </row>
    <row r="216" spans="1:10" x14ac:dyDescent="0.3">
      <c r="A216">
        <v>197</v>
      </c>
      <c r="B216">
        <v>980</v>
      </c>
      <c r="C216">
        <v>3.2193E-4</v>
      </c>
      <c r="D216">
        <v>3.6408000000000002E-4</v>
      </c>
      <c r="E216">
        <v>1.4999999999999999E-7</v>
      </c>
      <c r="F216">
        <v>2.1198539999999998E-2</v>
      </c>
      <c r="G216">
        <v>4.1729000000000001E-4</v>
      </c>
      <c r="H216">
        <v>3.1086999999999998E-4</v>
      </c>
      <c r="I216">
        <v>4.3763E-4</v>
      </c>
      <c r="J216">
        <v>6.4960000000000001E-5</v>
      </c>
    </row>
    <row r="217" spans="1:10" x14ac:dyDescent="0.3">
      <c r="A217">
        <v>198</v>
      </c>
      <c r="B217">
        <v>985</v>
      </c>
      <c r="C217">
        <v>3.2112999999999998E-4</v>
      </c>
      <c r="D217">
        <v>3.5174000000000002E-4</v>
      </c>
      <c r="E217">
        <v>1.1999999999999999E-7</v>
      </c>
      <c r="F217">
        <v>1.9126870000000001E-2</v>
      </c>
      <c r="G217">
        <v>4.035E-4</v>
      </c>
      <c r="H217">
        <v>2.9998999999999998E-4</v>
      </c>
      <c r="I217">
        <v>4.2327E-4</v>
      </c>
      <c r="J217">
        <v>5.6759999999999999E-5</v>
      </c>
    </row>
    <row r="218" spans="1:10" x14ac:dyDescent="0.3">
      <c r="A218">
        <v>199</v>
      </c>
      <c r="B218">
        <v>990</v>
      </c>
      <c r="C218">
        <v>3.2033000000000002E-4</v>
      </c>
      <c r="D218">
        <v>3.1381999999999997E-4</v>
      </c>
      <c r="E218">
        <v>8.9999999999999999E-8</v>
      </c>
      <c r="F218">
        <v>1.6669759999999999E-2</v>
      </c>
      <c r="G218">
        <v>3.6027999999999999E-4</v>
      </c>
      <c r="H218">
        <v>2.6736000000000002E-4</v>
      </c>
      <c r="I218">
        <v>3.7803000000000001E-4</v>
      </c>
      <c r="J218">
        <v>4.8659999999999998E-5</v>
      </c>
    </row>
    <row r="219" spans="1:10" x14ac:dyDescent="0.3">
      <c r="A219">
        <v>200</v>
      </c>
      <c r="B219">
        <v>995</v>
      </c>
      <c r="C219">
        <v>3.1953999999999999E-4</v>
      </c>
      <c r="D219">
        <v>2.8317000000000001E-4</v>
      </c>
      <c r="E219">
        <v>8.0000000000000002E-8</v>
      </c>
      <c r="F219">
        <v>1.638069E-2</v>
      </c>
      <c r="G219">
        <v>3.2558000000000001E-4</v>
      </c>
      <c r="H219">
        <v>2.4075999999999999E-4</v>
      </c>
      <c r="I219">
        <v>3.4175999999999998E-4</v>
      </c>
      <c r="J219">
        <v>4.4709999999999997E-5</v>
      </c>
    </row>
    <row r="220" spans="1:10" x14ac:dyDescent="0.3">
      <c r="A220">
        <v>201</v>
      </c>
      <c r="B220">
        <v>1000</v>
      </c>
      <c r="C220">
        <v>3.1875000000000002E-4</v>
      </c>
      <c r="D220">
        <v>3.0443000000000001E-4</v>
      </c>
      <c r="E220">
        <v>8.0000000000000002E-8</v>
      </c>
      <c r="F220">
        <v>1.5272590000000001E-2</v>
      </c>
      <c r="G220">
        <v>3.5045999999999998E-4</v>
      </c>
      <c r="H220">
        <v>2.5840999999999999E-4</v>
      </c>
      <c r="I220">
        <v>3.6790999999999999E-4</v>
      </c>
      <c r="J220">
        <v>5.1759999999999999E-5</v>
      </c>
    </row>
    <row r="221" spans="1:10" x14ac:dyDescent="0.3">
      <c r="A221">
        <v>202</v>
      </c>
      <c r="B221">
        <v>1005</v>
      </c>
      <c r="C221">
        <v>3.1796999999999999E-4</v>
      </c>
      <c r="D221">
        <v>3.7931999999999999E-4</v>
      </c>
      <c r="E221">
        <v>8.0000000000000002E-8</v>
      </c>
      <c r="F221">
        <v>1.5272590000000001E-2</v>
      </c>
      <c r="G221">
        <v>4.3718000000000001E-4</v>
      </c>
      <c r="H221">
        <v>3.2144999999999998E-4</v>
      </c>
      <c r="I221">
        <v>4.5904000000000002E-4</v>
      </c>
      <c r="J221">
        <v>7.0909999999999997E-5</v>
      </c>
    </row>
    <row r="222" spans="1:10" x14ac:dyDescent="0.3">
      <c r="A222">
        <v>203</v>
      </c>
      <c r="B222">
        <v>1010</v>
      </c>
      <c r="C222">
        <v>3.1719000000000002E-4</v>
      </c>
      <c r="D222">
        <v>3.6021000000000002E-4</v>
      </c>
      <c r="E222">
        <v>8.9999999999999999E-8</v>
      </c>
      <c r="F222">
        <v>1.719973E-2</v>
      </c>
      <c r="G222">
        <v>4.1559000000000002E-4</v>
      </c>
      <c r="H222">
        <v>3.0483000000000002E-4</v>
      </c>
      <c r="I222">
        <v>4.3648999999999999E-4</v>
      </c>
      <c r="J222">
        <v>7.5129999999999994E-5</v>
      </c>
    </row>
    <row r="223" spans="1:10" x14ac:dyDescent="0.3">
      <c r="A223">
        <v>204</v>
      </c>
      <c r="B223">
        <v>1015</v>
      </c>
      <c r="C223">
        <v>3.1641999999999998E-4</v>
      </c>
      <c r="D223">
        <v>3.2531999999999998E-4</v>
      </c>
      <c r="E223">
        <v>8.0000000000000002E-8</v>
      </c>
      <c r="F223">
        <v>1.585073E-2</v>
      </c>
      <c r="G223">
        <v>3.7581000000000002E-4</v>
      </c>
      <c r="H223">
        <v>2.7483999999999999E-4</v>
      </c>
      <c r="I223">
        <v>3.9477000000000002E-4</v>
      </c>
      <c r="J223">
        <v>7.9250000000000002E-5</v>
      </c>
    </row>
    <row r="224" spans="1:10" x14ac:dyDescent="0.3">
      <c r="A224">
        <v>205</v>
      </c>
      <c r="B224">
        <v>1020</v>
      </c>
      <c r="C224">
        <v>3.1565E-4</v>
      </c>
      <c r="D224">
        <v>3.2318000000000001E-4</v>
      </c>
      <c r="E224">
        <v>7.0000000000000005E-8</v>
      </c>
      <c r="F224">
        <v>1.503169E-2</v>
      </c>
      <c r="G224">
        <v>3.7403000000000002E-4</v>
      </c>
      <c r="H224">
        <v>2.7231999999999999E-4</v>
      </c>
      <c r="I224">
        <v>3.9293999999999999E-4</v>
      </c>
      <c r="J224">
        <v>9.1559999999999998E-5</v>
      </c>
    </row>
    <row r="225" spans="1:10" x14ac:dyDescent="0.3">
      <c r="A225">
        <v>206</v>
      </c>
      <c r="B225">
        <v>1025</v>
      </c>
      <c r="C225">
        <v>3.1489000000000002E-4</v>
      </c>
      <c r="D225">
        <v>3.1901E-4</v>
      </c>
      <c r="E225">
        <v>4.9999999999999998E-8</v>
      </c>
      <c r="F225">
        <v>1.2863660000000001E-2</v>
      </c>
      <c r="G225">
        <v>3.7011999999999999E-4</v>
      </c>
      <c r="H225">
        <v>2.6791E-4</v>
      </c>
      <c r="I225">
        <v>3.8907999999999998E-4</v>
      </c>
      <c r="J225">
        <v>1.026E-4</v>
      </c>
    </row>
    <row r="226" spans="1:10" x14ac:dyDescent="0.3">
      <c r="A226">
        <v>207</v>
      </c>
      <c r="B226">
        <v>1030</v>
      </c>
      <c r="C226">
        <v>3.1414000000000002E-4</v>
      </c>
      <c r="D226">
        <v>3.0048999999999999E-4</v>
      </c>
      <c r="E226">
        <v>4.9999999999999998E-8</v>
      </c>
      <c r="F226">
        <v>1.243005E-2</v>
      </c>
      <c r="G226">
        <v>3.4980999999999999E-4</v>
      </c>
      <c r="H226">
        <v>2.5117E-4</v>
      </c>
      <c r="I226">
        <v>3.6789E-4</v>
      </c>
      <c r="J226">
        <v>1.1299E-4</v>
      </c>
    </row>
    <row r="227" spans="1:10" x14ac:dyDescent="0.3">
      <c r="A227">
        <v>208</v>
      </c>
      <c r="B227">
        <v>1035</v>
      </c>
      <c r="C227">
        <v>3.1338999999999998E-4</v>
      </c>
      <c r="D227">
        <v>3.3377999999999999E-4</v>
      </c>
      <c r="E227">
        <v>4.9999999999999998E-8</v>
      </c>
      <c r="F227">
        <v>1.185191E-2</v>
      </c>
      <c r="G227">
        <v>3.8977E-4</v>
      </c>
      <c r="H227">
        <v>2.7779999999999998E-4</v>
      </c>
      <c r="I227">
        <v>4.1002999999999998E-4</v>
      </c>
      <c r="J227">
        <v>1.4648999999999999E-4</v>
      </c>
    </row>
    <row r="228" spans="1:10" x14ac:dyDescent="0.3">
      <c r="A228">
        <v>209</v>
      </c>
      <c r="B228">
        <v>1040</v>
      </c>
      <c r="C228">
        <v>3.1263999999999999E-4</v>
      </c>
      <c r="D228">
        <v>3.3275999999999998E-4</v>
      </c>
      <c r="E228">
        <v>4.0000000000000001E-8</v>
      </c>
      <c r="F228">
        <v>1.117741E-2</v>
      </c>
      <c r="G228">
        <v>3.8940999999999997E-4</v>
      </c>
      <c r="H228">
        <v>2.7610999999999998E-4</v>
      </c>
      <c r="I228">
        <v>4.0964000000000001E-4</v>
      </c>
      <c r="J228">
        <v>1.6572000000000001E-4</v>
      </c>
    </row>
    <row r="229" spans="1:10" x14ac:dyDescent="0.3">
      <c r="A229">
        <v>210</v>
      </c>
      <c r="B229">
        <v>1045</v>
      </c>
      <c r="C229">
        <v>3.1189999999999999E-4</v>
      </c>
      <c r="D229">
        <v>2.8704000000000002E-4</v>
      </c>
      <c r="E229">
        <v>4.0000000000000001E-8</v>
      </c>
      <c r="F229">
        <v>1.129786E-2</v>
      </c>
      <c r="G229">
        <v>3.3638E-4</v>
      </c>
      <c r="H229">
        <v>2.377E-4</v>
      </c>
      <c r="I229">
        <v>3.5364000000000001E-4</v>
      </c>
      <c r="J229">
        <v>1.6572000000000001E-4</v>
      </c>
    </row>
    <row r="230" spans="1:10" x14ac:dyDescent="0.3">
      <c r="A230">
        <v>211</v>
      </c>
      <c r="B230">
        <v>1050</v>
      </c>
      <c r="C230">
        <v>3.1116999999999999E-4</v>
      </c>
      <c r="D230">
        <v>2.7699000000000002E-4</v>
      </c>
      <c r="E230">
        <v>2.9999999999999997E-8</v>
      </c>
      <c r="F230">
        <v>1.0502910000000001E-2</v>
      </c>
      <c r="G230">
        <v>3.2498E-4</v>
      </c>
      <c r="H230">
        <v>2.2900000000000001E-4</v>
      </c>
      <c r="I230">
        <v>3.4115000000000003E-4</v>
      </c>
      <c r="J230">
        <v>1.8781000000000001E-4</v>
      </c>
    </row>
    <row r="231" spans="1:10" x14ac:dyDescent="0.3">
      <c r="A231">
        <v>212</v>
      </c>
      <c r="B231">
        <v>1055</v>
      </c>
      <c r="C231">
        <v>3.1043999999999999E-4</v>
      </c>
      <c r="D231">
        <v>2.9504999999999999E-4</v>
      </c>
      <c r="E231">
        <v>2.9999999999999997E-8</v>
      </c>
      <c r="F231">
        <v>9.2502699999999997E-3</v>
      </c>
      <c r="G231">
        <v>3.4639000000000002E-4</v>
      </c>
      <c r="H231">
        <v>2.4372E-4</v>
      </c>
      <c r="I231">
        <v>3.6315000000000002E-4</v>
      </c>
      <c r="J231">
        <v>2.2832000000000001E-4</v>
      </c>
    </row>
    <row r="232" spans="1:10" x14ac:dyDescent="0.3">
      <c r="A232">
        <v>213</v>
      </c>
      <c r="B232">
        <v>1060</v>
      </c>
      <c r="C232">
        <v>3.0971999999999998E-4</v>
      </c>
      <c r="D232">
        <v>2.9185000000000002E-4</v>
      </c>
      <c r="E232">
        <v>2.9999999999999997E-8</v>
      </c>
      <c r="F232">
        <v>8.9130200000000007E-3</v>
      </c>
      <c r="G232">
        <v>3.4279999999999998E-4</v>
      </c>
      <c r="H232">
        <v>2.4091E-4</v>
      </c>
      <c r="I232">
        <v>3.5914999999999997E-4</v>
      </c>
      <c r="J232">
        <v>2.6019999999999998E-4</v>
      </c>
    </row>
    <row r="233" spans="1:10" x14ac:dyDescent="0.3">
      <c r="A233">
        <v>214</v>
      </c>
      <c r="B233">
        <v>1065</v>
      </c>
      <c r="C233">
        <v>3.0899999999999998E-4</v>
      </c>
      <c r="D233">
        <v>2.7251E-4</v>
      </c>
      <c r="E233">
        <v>2.9999999999999997E-8</v>
      </c>
      <c r="F233">
        <v>9.4911600000000002E-3</v>
      </c>
      <c r="G233">
        <v>3.2023000000000002E-4</v>
      </c>
      <c r="H233">
        <v>2.2479999999999999E-4</v>
      </c>
      <c r="I233">
        <v>3.3530000000000002E-4</v>
      </c>
      <c r="J233">
        <v>2.8280999999999998E-4</v>
      </c>
    </row>
    <row r="234" spans="1:10" x14ac:dyDescent="0.3">
      <c r="A234">
        <v>215</v>
      </c>
      <c r="B234">
        <v>1070</v>
      </c>
      <c r="C234">
        <v>3.0829000000000002E-4</v>
      </c>
      <c r="D234">
        <v>3.0221000000000002E-4</v>
      </c>
      <c r="E234">
        <v>2E-8</v>
      </c>
      <c r="F234">
        <v>9.2502699999999997E-3</v>
      </c>
      <c r="G234">
        <v>3.5551000000000002E-4</v>
      </c>
      <c r="H234">
        <v>2.4892000000000002E-4</v>
      </c>
      <c r="I234">
        <v>3.7209E-4</v>
      </c>
      <c r="J234">
        <v>3.7612000000000002E-4</v>
      </c>
    </row>
    <row r="235" spans="1:10" x14ac:dyDescent="0.3">
      <c r="A235">
        <v>216</v>
      </c>
      <c r="B235">
        <v>1075</v>
      </c>
      <c r="C235">
        <v>3.0758000000000001E-4</v>
      </c>
      <c r="D235">
        <v>3.0981999999999998E-4</v>
      </c>
      <c r="E235">
        <v>2E-8</v>
      </c>
      <c r="F235">
        <v>8.8166700000000004E-3</v>
      </c>
      <c r="G235">
        <v>3.6497E-4</v>
      </c>
      <c r="H235">
        <v>2.5467000000000003E-4</v>
      </c>
      <c r="I235">
        <v>3.8203E-4</v>
      </c>
      <c r="J235">
        <v>4.6423999999999999E-4</v>
      </c>
    </row>
    <row r="236" spans="1:10" x14ac:dyDescent="0.3">
      <c r="A236">
        <v>217</v>
      </c>
      <c r="B236">
        <v>1080</v>
      </c>
      <c r="C236">
        <v>3.0687999999999999E-4</v>
      </c>
      <c r="D236">
        <v>3.2971999999999998E-4</v>
      </c>
      <c r="E236">
        <v>2E-8</v>
      </c>
      <c r="F236">
        <v>7.2267800000000004E-3</v>
      </c>
      <c r="G236">
        <v>3.8956E-4</v>
      </c>
      <c r="H236">
        <v>2.6989000000000001E-4</v>
      </c>
      <c r="I236">
        <v>4.0819000000000001E-4</v>
      </c>
      <c r="J236">
        <v>6.2686000000000003E-4</v>
      </c>
    </row>
    <row r="237" spans="1:10" x14ac:dyDescent="0.3">
      <c r="A237">
        <v>218</v>
      </c>
      <c r="B237">
        <v>1085</v>
      </c>
      <c r="C237">
        <v>3.0618000000000003E-4</v>
      </c>
      <c r="D237">
        <v>3.1142000000000002E-4</v>
      </c>
      <c r="E237">
        <v>1E-8</v>
      </c>
      <c r="F237">
        <v>6.9377099999999997E-3</v>
      </c>
      <c r="G237">
        <v>3.6958999999999999E-4</v>
      </c>
      <c r="H237">
        <v>2.5326E-4</v>
      </c>
      <c r="I237">
        <v>3.8819000000000001E-4</v>
      </c>
      <c r="J237">
        <v>8.5424999999999997E-4</v>
      </c>
    </row>
    <row r="238" spans="1:10" x14ac:dyDescent="0.3">
      <c r="A238">
        <v>219</v>
      </c>
      <c r="B238">
        <v>1090</v>
      </c>
      <c r="C238">
        <v>3.0548000000000001E-4</v>
      </c>
      <c r="D238">
        <v>2.7511000000000001E-4</v>
      </c>
      <c r="E238">
        <v>2E-8</v>
      </c>
      <c r="F238">
        <v>7.6844699999999997E-3</v>
      </c>
      <c r="G238">
        <v>3.2822999999999999E-4</v>
      </c>
      <c r="H238">
        <v>2.2198000000000001E-4</v>
      </c>
      <c r="I238">
        <v>3.4591E-4</v>
      </c>
      <c r="J238">
        <v>9.8057999999999999E-4</v>
      </c>
    </row>
    <row r="239" spans="1:10" x14ac:dyDescent="0.3">
      <c r="A239">
        <v>220</v>
      </c>
      <c r="B239">
        <v>1095</v>
      </c>
      <c r="C239">
        <v>3.0478999999999999E-4</v>
      </c>
      <c r="D239">
        <v>2.5001E-4</v>
      </c>
      <c r="E239">
        <v>2E-8</v>
      </c>
      <c r="F239">
        <v>7.5640200000000003E-3</v>
      </c>
      <c r="G239">
        <v>2.9810999999999998E-4</v>
      </c>
      <c r="H239">
        <v>2.0191E-4</v>
      </c>
      <c r="I239">
        <v>3.1402999999999997E-4</v>
      </c>
      <c r="J239">
        <v>4.6074000000000001E-4</v>
      </c>
    </row>
    <row r="240" spans="1:10" x14ac:dyDescent="0.3">
      <c r="A240">
        <v>221</v>
      </c>
      <c r="B240">
        <v>1100</v>
      </c>
      <c r="C240">
        <v>3.0411000000000001E-4</v>
      </c>
      <c r="D240">
        <v>2.8247E-4</v>
      </c>
      <c r="E240">
        <v>1E-8</v>
      </c>
      <c r="F240">
        <v>5.9861799999999998E-3</v>
      </c>
      <c r="G240">
        <v>3.3658000000000001E-4</v>
      </c>
      <c r="H240">
        <v>2.2834999999999999E-4</v>
      </c>
      <c r="I240">
        <v>3.5396000000000001E-4</v>
      </c>
      <c r="J240">
        <v>1.4928000000000001E-4</v>
      </c>
    </row>
    <row r="241" spans="1:10" x14ac:dyDescent="0.3">
      <c r="A241">
        <v>222</v>
      </c>
      <c r="B241">
        <v>1105</v>
      </c>
      <c r="C241">
        <v>3.0342999999999999E-4</v>
      </c>
      <c r="D241">
        <v>3.1899000000000001E-4</v>
      </c>
      <c r="E241">
        <v>1E-8</v>
      </c>
      <c r="F241">
        <v>4.6853600000000004E-3</v>
      </c>
      <c r="G241">
        <v>3.8108E-4</v>
      </c>
      <c r="H241">
        <v>2.5690000000000001E-4</v>
      </c>
      <c r="I241">
        <v>4.0094000000000002E-4</v>
      </c>
      <c r="J241">
        <v>1.8576000000000001E-4</v>
      </c>
    </row>
    <row r="242" spans="1:10" x14ac:dyDescent="0.3">
      <c r="A242">
        <v>223</v>
      </c>
      <c r="B242">
        <v>1110</v>
      </c>
      <c r="C242">
        <v>3.0276000000000001E-4</v>
      </c>
      <c r="D242">
        <v>2.9494999999999999E-4</v>
      </c>
      <c r="E242">
        <v>1E-8</v>
      </c>
      <c r="F242">
        <v>4.1433499999999996E-3</v>
      </c>
      <c r="G242">
        <v>3.5321000000000001E-4</v>
      </c>
      <c r="H242">
        <v>2.3670000000000001E-4</v>
      </c>
      <c r="I242">
        <v>3.7185000000000001E-4</v>
      </c>
      <c r="J242">
        <v>2.2696000000000001E-4</v>
      </c>
    </row>
    <row r="243" spans="1:10" x14ac:dyDescent="0.3">
      <c r="A243">
        <v>224</v>
      </c>
      <c r="B243">
        <v>1115</v>
      </c>
      <c r="C243">
        <v>3.0207999999999998E-4</v>
      </c>
      <c r="D243">
        <v>2.6590000000000001E-4</v>
      </c>
      <c r="E243">
        <v>0</v>
      </c>
      <c r="F243">
        <v>4.1794900000000001E-3</v>
      </c>
      <c r="G243">
        <v>3.1887000000000001E-4</v>
      </c>
      <c r="H243">
        <v>2.1291999999999999E-4</v>
      </c>
      <c r="I243">
        <v>3.3569999999999997E-4</v>
      </c>
      <c r="J243">
        <v>2.677E-4</v>
      </c>
    </row>
    <row r="244" spans="1:10" x14ac:dyDescent="0.3">
      <c r="A244">
        <v>225</v>
      </c>
      <c r="B244">
        <v>1120</v>
      </c>
      <c r="C244">
        <v>3.0142E-4</v>
      </c>
      <c r="D244">
        <v>3.0645999999999999E-4</v>
      </c>
      <c r="E244">
        <v>0</v>
      </c>
      <c r="F244">
        <v>3.9385899999999996E-3</v>
      </c>
      <c r="G244">
        <v>3.6792999999999998E-4</v>
      </c>
      <c r="H244">
        <v>2.4498E-4</v>
      </c>
      <c r="I244">
        <v>3.8714000000000001E-4</v>
      </c>
      <c r="J244">
        <v>3.6970999999999998E-4</v>
      </c>
    </row>
    <row r="245" spans="1:10" x14ac:dyDescent="0.3">
      <c r="A245">
        <v>226</v>
      </c>
      <c r="B245">
        <v>1125</v>
      </c>
      <c r="C245">
        <v>3.0076000000000001E-4</v>
      </c>
      <c r="D245">
        <v>3.4719999999999998E-4</v>
      </c>
      <c r="E245">
        <v>1E-8</v>
      </c>
      <c r="F245">
        <v>4.2276600000000003E-3</v>
      </c>
      <c r="G245">
        <v>4.1748000000000002E-4</v>
      </c>
      <c r="H245">
        <v>2.7692999999999999E-4</v>
      </c>
      <c r="I245">
        <v>4.3911999999999998E-4</v>
      </c>
      <c r="J245">
        <v>4.8432E-4</v>
      </c>
    </row>
    <row r="246" spans="1:10" x14ac:dyDescent="0.3">
      <c r="A246">
        <v>227</v>
      </c>
      <c r="B246">
        <v>1130</v>
      </c>
      <c r="C246">
        <v>3.0009999999999998E-4</v>
      </c>
      <c r="D246">
        <v>3.2294000000000002E-4</v>
      </c>
      <c r="E246">
        <v>1E-8</v>
      </c>
      <c r="F246">
        <v>4.7817199999999997E-3</v>
      </c>
      <c r="G246">
        <v>3.8914E-4</v>
      </c>
      <c r="H246">
        <v>2.5673999999999998E-4</v>
      </c>
      <c r="I246">
        <v>4.0928999999999998E-4</v>
      </c>
      <c r="J246">
        <v>5.1320000000000001E-4</v>
      </c>
    </row>
    <row r="247" spans="1:10" x14ac:dyDescent="0.3">
      <c r="A247">
        <v>228</v>
      </c>
      <c r="B247">
        <v>1135</v>
      </c>
      <c r="C247">
        <v>2.9944999999999999E-4</v>
      </c>
      <c r="D247">
        <v>3.0926E-4</v>
      </c>
      <c r="E247">
        <v>1E-8</v>
      </c>
      <c r="F247">
        <v>5.4441699999999999E-3</v>
      </c>
      <c r="G247">
        <v>3.7367999999999999E-4</v>
      </c>
      <c r="H247">
        <v>2.4484000000000002E-4</v>
      </c>
      <c r="I247">
        <v>3.9304999999999999E-4</v>
      </c>
      <c r="J247">
        <v>5.6108999999999998E-4</v>
      </c>
    </row>
    <row r="248" spans="1:10" x14ac:dyDescent="0.3">
      <c r="A248">
        <v>229</v>
      </c>
      <c r="B248">
        <v>1140</v>
      </c>
      <c r="C248">
        <v>2.988E-4</v>
      </c>
      <c r="D248">
        <v>3.2724000000000002E-4</v>
      </c>
      <c r="E248">
        <v>1E-8</v>
      </c>
      <c r="F248">
        <v>5.5043899999999996E-3</v>
      </c>
      <c r="G248">
        <v>3.9671999999999998E-4</v>
      </c>
      <c r="H248">
        <v>2.5775E-4</v>
      </c>
      <c r="I248">
        <v>4.1749000000000002E-4</v>
      </c>
      <c r="J248">
        <v>6.7425999999999999E-4</v>
      </c>
    </row>
    <row r="249" spans="1:10" x14ac:dyDescent="0.3">
      <c r="A249">
        <v>230</v>
      </c>
      <c r="B249">
        <v>1145</v>
      </c>
      <c r="C249">
        <v>2.9815000000000001E-4</v>
      </c>
      <c r="D249">
        <v>3.2051999999999997E-4</v>
      </c>
      <c r="E249">
        <v>1E-8</v>
      </c>
      <c r="F249">
        <v>6.4077400000000003E-3</v>
      </c>
      <c r="G249">
        <v>3.8966000000000001E-4</v>
      </c>
      <c r="H249">
        <v>2.5138E-4</v>
      </c>
      <c r="I249">
        <v>4.1046000000000002E-4</v>
      </c>
      <c r="J249">
        <v>7.4441999999999998E-4</v>
      </c>
    </row>
    <row r="250" spans="1:10" x14ac:dyDescent="0.3">
      <c r="A250">
        <v>231</v>
      </c>
      <c r="B250">
        <v>1150</v>
      </c>
      <c r="C250">
        <v>2.9751000000000002E-4</v>
      </c>
      <c r="D250">
        <v>3.3262999999999999E-4</v>
      </c>
      <c r="E250">
        <v>2E-8</v>
      </c>
      <c r="F250">
        <v>7.2508700000000004E-3</v>
      </c>
      <c r="G250">
        <v>4.0573999999999997E-4</v>
      </c>
      <c r="H250">
        <v>2.5952000000000001E-4</v>
      </c>
      <c r="I250">
        <v>4.2766000000000001E-4</v>
      </c>
      <c r="J250">
        <v>8.9263999999999999E-4</v>
      </c>
    </row>
    <row r="251" spans="1:10" x14ac:dyDescent="0.3">
      <c r="A251">
        <v>232</v>
      </c>
      <c r="B251">
        <v>1155</v>
      </c>
      <c r="C251">
        <v>2.9688000000000002E-4</v>
      </c>
      <c r="D251">
        <v>3.5734999999999999E-4</v>
      </c>
      <c r="E251">
        <v>2E-8</v>
      </c>
      <c r="F251">
        <v>7.6362899999999996E-3</v>
      </c>
      <c r="G251">
        <v>4.3742999999999999E-4</v>
      </c>
      <c r="H251">
        <v>2.7726999999999998E-4</v>
      </c>
      <c r="I251">
        <v>4.6134000000000002E-4</v>
      </c>
      <c r="J251">
        <v>1.0929100000000001E-3</v>
      </c>
    </row>
    <row r="252" spans="1:10" x14ac:dyDescent="0.3">
      <c r="A252">
        <v>233</v>
      </c>
      <c r="B252">
        <v>1160</v>
      </c>
      <c r="C252">
        <v>2.9625000000000002E-4</v>
      </c>
      <c r="D252">
        <v>3.1541000000000002E-4</v>
      </c>
      <c r="E252">
        <v>2E-8</v>
      </c>
      <c r="F252">
        <v>8.0458100000000005E-3</v>
      </c>
      <c r="G252">
        <v>3.8747E-4</v>
      </c>
      <c r="H252">
        <v>2.4334000000000001E-4</v>
      </c>
      <c r="I252">
        <v>4.0893E-4</v>
      </c>
      <c r="J252">
        <v>1.09909E-3</v>
      </c>
    </row>
    <row r="253" spans="1:10" x14ac:dyDescent="0.3">
      <c r="A253">
        <v>234</v>
      </c>
      <c r="B253">
        <v>1165</v>
      </c>
      <c r="C253">
        <v>2.9562000000000002E-4</v>
      </c>
      <c r="D253">
        <v>2.5136000000000001E-4</v>
      </c>
      <c r="E253">
        <v>2E-8</v>
      </c>
      <c r="F253">
        <v>9.1539199999999994E-3</v>
      </c>
      <c r="G253">
        <v>3.1029000000000001E-4</v>
      </c>
      <c r="H253">
        <v>1.9243E-4</v>
      </c>
      <c r="I253">
        <v>3.277E-4</v>
      </c>
      <c r="J253">
        <v>1.0287899999999999E-3</v>
      </c>
    </row>
    <row r="254" spans="1:10" x14ac:dyDescent="0.3">
      <c r="A254">
        <v>235</v>
      </c>
      <c r="B254">
        <v>1170</v>
      </c>
      <c r="C254">
        <v>2.9499000000000002E-4</v>
      </c>
      <c r="D254">
        <v>2.8705000000000001E-4</v>
      </c>
      <c r="E254">
        <v>2.9999999999999997E-8</v>
      </c>
      <c r="F254">
        <v>1.0045220000000001E-2</v>
      </c>
      <c r="G254">
        <v>3.5628E-4</v>
      </c>
      <c r="H254">
        <v>2.1782E-4</v>
      </c>
      <c r="I254">
        <v>3.7672999999999998E-4</v>
      </c>
      <c r="J254">
        <v>1.37674E-3</v>
      </c>
    </row>
    <row r="255" spans="1:10" x14ac:dyDescent="0.3">
      <c r="A255">
        <v>236</v>
      </c>
      <c r="B255">
        <v>1175</v>
      </c>
      <c r="C255">
        <v>2.9437000000000002E-4</v>
      </c>
      <c r="D255">
        <v>3.2488999999999999E-4</v>
      </c>
      <c r="E255">
        <v>4.0000000000000001E-8</v>
      </c>
      <c r="F255">
        <v>1.0527E-2</v>
      </c>
      <c r="G255">
        <v>4.0515000000000001E-4</v>
      </c>
      <c r="H255">
        <v>2.4463000000000002E-4</v>
      </c>
      <c r="I255">
        <v>4.2883E-4</v>
      </c>
      <c r="J255">
        <v>1.7860899999999999E-3</v>
      </c>
    </row>
    <row r="256" spans="1:10" x14ac:dyDescent="0.3">
      <c r="A256">
        <v>237</v>
      </c>
      <c r="B256">
        <v>1180</v>
      </c>
      <c r="C256">
        <v>2.9376000000000001E-4</v>
      </c>
      <c r="D256">
        <v>3.0472000000000002E-4</v>
      </c>
      <c r="E256">
        <v>4.0000000000000001E-8</v>
      </c>
      <c r="F256">
        <v>1.153875E-2</v>
      </c>
      <c r="G256">
        <v>3.8196999999999998E-4</v>
      </c>
      <c r="H256">
        <v>2.2748000000000001E-4</v>
      </c>
      <c r="I256">
        <v>4.0472000000000001E-4</v>
      </c>
      <c r="J256">
        <v>1.9609900000000001E-3</v>
      </c>
    </row>
    <row r="257" spans="1:10" x14ac:dyDescent="0.3">
      <c r="A257">
        <v>238</v>
      </c>
      <c r="B257">
        <v>1185</v>
      </c>
      <c r="C257">
        <v>2.9315E-4</v>
      </c>
      <c r="D257">
        <v>2.8329000000000001E-4</v>
      </c>
      <c r="E257">
        <v>4.9999999999999998E-8</v>
      </c>
      <c r="F257">
        <v>1.320091E-2</v>
      </c>
      <c r="G257">
        <v>3.5703999999999998E-4</v>
      </c>
      <c r="H257">
        <v>2.0953000000000001E-4</v>
      </c>
      <c r="I257">
        <v>3.7887000000000001E-4</v>
      </c>
      <c r="J257">
        <v>2.1793300000000002E-3</v>
      </c>
    </row>
    <row r="258" spans="1:10" x14ac:dyDescent="0.3">
      <c r="A258">
        <v>239</v>
      </c>
      <c r="B258">
        <v>1190</v>
      </c>
      <c r="C258">
        <v>2.9253999999999999E-4</v>
      </c>
      <c r="D258">
        <v>2.8354999999999998E-4</v>
      </c>
      <c r="E258">
        <v>7.0000000000000005E-8</v>
      </c>
      <c r="F258">
        <v>1.5224410000000001E-2</v>
      </c>
      <c r="G258">
        <v>3.5914999999999997E-4</v>
      </c>
      <c r="H258">
        <v>2.0795000000000001E-4</v>
      </c>
      <c r="I258">
        <v>3.8143999999999998E-4</v>
      </c>
      <c r="J258">
        <v>2.6484199999999999E-3</v>
      </c>
    </row>
    <row r="259" spans="1:10" x14ac:dyDescent="0.3">
      <c r="A259">
        <v>240</v>
      </c>
      <c r="B259">
        <v>1195</v>
      </c>
      <c r="C259">
        <v>2.9192999999999998E-4</v>
      </c>
      <c r="D259">
        <v>3.3681999999999999E-4</v>
      </c>
      <c r="E259">
        <v>8.9999999999999999E-8</v>
      </c>
      <c r="F259">
        <v>1.662158E-2</v>
      </c>
      <c r="G259">
        <v>4.2839000000000001E-4</v>
      </c>
      <c r="H259">
        <v>2.4525000000000003E-4</v>
      </c>
      <c r="I259">
        <v>4.5520000000000001E-4</v>
      </c>
      <c r="J259">
        <v>3.8574299999999998E-3</v>
      </c>
    </row>
    <row r="260" spans="1:10" x14ac:dyDescent="0.3">
      <c r="A260">
        <v>241</v>
      </c>
      <c r="B260">
        <v>1200</v>
      </c>
      <c r="C260">
        <v>2.9133000000000002E-4</v>
      </c>
      <c r="D260">
        <v>3.3137999999999999E-4</v>
      </c>
      <c r="E260">
        <v>9.9999999999999995E-8</v>
      </c>
      <c r="F260">
        <v>1.8500550000000001E-2</v>
      </c>
      <c r="G260">
        <v>4.2284000000000001E-4</v>
      </c>
      <c r="H260">
        <v>2.3991E-4</v>
      </c>
      <c r="I260">
        <v>4.4946999999999999E-4</v>
      </c>
      <c r="J260">
        <v>4.69199E-3</v>
      </c>
    </row>
    <row r="261" spans="1:10" x14ac:dyDescent="0.3">
      <c r="A261">
        <v>242</v>
      </c>
      <c r="B261">
        <v>1205</v>
      </c>
      <c r="C261">
        <v>2.9074E-4</v>
      </c>
      <c r="D261">
        <v>3.2989E-4</v>
      </c>
      <c r="E261">
        <v>1.3E-7</v>
      </c>
      <c r="F261">
        <v>2.052404E-2</v>
      </c>
      <c r="G261">
        <v>4.2184999999999998E-4</v>
      </c>
      <c r="H261">
        <v>2.3792E-4</v>
      </c>
      <c r="I261">
        <v>4.4850000000000001E-4</v>
      </c>
      <c r="J261">
        <v>5.9344300000000001E-3</v>
      </c>
    </row>
    <row r="262" spans="1:10" x14ac:dyDescent="0.3">
      <c r="A262">
        <v>243</v>
      </c>
      <c r="B262">
        <v>1210</v>
      </c>
      <c r="C262">
        <v>2.9013999999999998E-4</v>
      </c>
      <c r="D262">
        <v>2.5201999999999999E-4</v>
      </c>
      <c r="E262">
        <v>1.1999999999999999E-7</v>
      </c>
      <c r="F262">
        <v>2.177668E-2</v>
      </c>
      <c r="G262">
        <v>3.2180000000000002E-4</v>
      </c>
      <c r="H262">
        <v>1.8225000000000001E-4</v>
      </c>
      <c r="I262">
        <v>3.4164999999999998E-4</v>
      </c>
      <c r="J262">
        <v>5.5628099999999996E-3</v>
      </c>
    </row>
    <row r="263" spans="1:10" x14ac:dyDescent="0.3">
      <c r="A263">
        <v>244</v>
      </c>
      <c r="B263">
        <v>1215</v>
      </c>
      <c r="C263">
        <v>2.8955000000000002E-4</v>
      </c>
      <c r="D263">
        <v>1.4616999999999999E-4</v>
      </c>
      <c r="E263">
        <v>8.0000000000000002E-8</v>
      </c>
      <c r="F263">
        <v>2.370382E-2</v>
      </c>
      <c r="G263">
        <v>1.8555000000000001E-4</v>
      </c>
      <c r="H263">
        <v>1.0679E-4</v>
      </c>
      <c r="I263">
        <v>1.9636E-4</v>
      </c>
      <c r="J263">
        <v>4.1943099999999997E-3</v>
      </c>
    </row>
    <row r="264" spans="1:10" x14ac:dyDescent="0.3">
      <c r="A264">
        <v>245</v>
      </c>
      <c r="B264">
        <v>1220</v>
      </c>
      <c r="C264">
        <v>2.8896999999999999E-4</v>
      </c>
      <c r="D264">
        <v>1.1290000000000001E-4</v>
      </c>
      <c r="E264">
        <v>5.9999999999999995E-8</v>
      </c>
      <c r="F264">
        <v>2.370382E-2</v>
      </c>
      <c r="G264">
        <v>1.4232000000000001E-4</v>
      </c>
      <c r="H264">
        <v>8.3469999999999999E-5</v>
      </c>
      <c r="I264">
        <v>1.5016000000000001E-4</v>
      </c>
      <c r="J264">
        <v>4.4361399999999999E-3</v>
      </c>
    </row>
    <row r="265" spans="1:10" x14ac:dyDescent="0.3">
      <c r="A265">
        <v>246</v>
      </c>
      <c r="B265">
        <v>1225</v>
      </c>
      <c r="C265">
        <v>2.8837999999999997E-4</v>
      </c>
      <c r="D265">
        <v>8.8949999999999994E-5</v>
      </c>
      <c r="E265">
        <v>7.0000000000000005E-8</v>
      </c>
      <c r="F265">
        <v>2.6112750000000001E-2</v>
      </c>
      <c r="G265">
        <v>1.1120000000000001E-4</v>
      </c>
      <c r="H265">
        <v>6.6699999999999995E-5</v>
      </c>
      <c r="I265">
        <v>1.1704E-4</v>
      </c>
      <c r="J265">
        <v>4.2922899999999998E-3</v>
      </c>
    </row>
    <row r="266" spans="1:10" x14ac:dyDescent="0.3">
      <c r="A266">
        <v>247</v>
      </c>
      <c r="B266">
        <v>1230</v>
      </c>
      <c r="C266">
        <v>2.8781E-4</v>
      </c>
      <c r="D266">
        <v>7.3280000000000003E-5</v>
      </c>
      <c r="E266">
        <v>7.0000000000000005E-8</v>
      </c>
      <c r="F266">
        <v>2.8714389999999999E-2</v>
      </c>
      <c r="G266">
        <v>8.9740000000000005E-5</v>
      </c>
      <c r="H266">
        <v>5.6820000000000001E-5</v>
      </c>
      <c r="I266">
        <v>9.3830000000000001E-5</v>
      </c>
      <c r="J266">
        <v>4.1818300000000001E-3</v>
      </c>
    </row>
    <row r="267" spans="1:10" x14ac:dyDescent="0.3">
      <c r="A267">
        <v>248</v>
      </c>
      <c r="B267">
        <v>1235</v>
      </c>
      <c r="C267">
        <v>2.8723000000000003E-4</v>
      </c>
      <c r="D267">
        <v>7.5619999999999998E-5</v>
      </c>
      <c r="E267">
        <v>5.9999999999999995E-8</v>
      </c>
      <c r="F267">
        <v>2.7269040000000001E-2</v>
      </c>
      <c r="G267">
        <v>9.0699999999999996E-5</v>
      </c>
      <c r="H267">
        <v>6.0529999999999998E-5</v>
      </c>
      <c r="I267">
        <v>9.4149999999999998E-5</v>
      </c>
      <c r="J267">
        <v>4.29387E-3</v>
      </c>
    </row>
    <row r="268" spans="1:10" x14ac:dyDescent="0.3">
      <c r="A268">
        <v>249</v>
      </c>
      <c r="B268">
        <v>1240</v>
      </c>
      <c r="C268">
        <v>2.8666E-4</v>
      </c>
      <c r="D268">
        <v>7.4469999999999997E-5</v>
      </c>
      <c r="E268">
        <v>4.0000000000000001E-8</v>
      </c>
      <c r="F268">
        <v>2.283661E-2</v>
      </c>
      <c r="G268">
        <v>8.7929999999999993E-5</v>
      </c>
      <c r="H268">
        <v>6.101E-5</v>
      </c>
      <c r="I268">
        <v>9.0799999999999998E-5</v>
      </c>
      <c r="J268">
        <v>4.05346E-3</v>
      </c>
    </row>
    <row r="269" spans="1:10" x14ac:dyDescent="0.3">
      <c r="A269">
        <v>250</v>
      </c>
      <c r="B269">
        <v>1245</v>
      </c>
      <c r="C269">
        <v>2.8609000000000002E-4</v>
      </c>
      <c r="D269">
        <v>7.8830000000000002E-5</v>
      </c>
      <c r="E269">
        <v>4.0000000000000001E-8</v>
      </c>
      <c r="F269">
        <v>2.0138610000000001E-2</v>
      </c>
      <c r="G269">
        <v>9.1580000000000001E-5</v>
      </c>
      <c r="H269">
        <v>6.6089999999999999E-5</v>
      </c>
      <c r="I269">
        <v>9.4040000000000001E-5</v>
      </c>
      <c r="J269">
        <v>4.0566500000000002E-3</v>
      </c>
    </row>
    <row r="270" spans="1:10" x14ac:dyDescent="0.3">
      <c r="A270">
        <v>251</v>
      </c>
      <c r="B270">
        <v>1250</v>
      </c>
      <c r="C270">
        <v>2.8551999999999999E-4</v>
      </c>
      <c r="D270">
        <v>1.0732E-4</v>
      </c>
      <c r="E270">
        <v>2E-8</v>
      </c>
      <c r="F270">
        <v>1.556166E-2</v>
      </c>
      <c r="G270">
        <v>1.2357000000000001E-4</v>
      </c>
      <c r="H270">
        <v>9.1080000000000002E-5</v>
      </c>
      <c r="I270">
        <v>1.2638999999999999E-4</v>
      </c>
      <c r="J270">
        <v>4.7774000000000002E-3</v>
      </c>
    </row>
    <row r="271" spans="1:10" x14ac:dyDescent="0.3">
      <c r="A271">
        <v>252</v>
      </c>
      <c r="B271">
        <v>1255</v>
      </c>
      <c r="C271">
        <v>2.8496000000000001E-4</v>
      </c>
      <c r="D271">
        <v>1.3590999999999999E-4</v>
      </c>
      <c r="E271">
        <v>2E-8</v>
      </c>
      <c r="F271">
        <v>1.257459E-2</v>
      </c>
      <c r="G271">
        <v>1.5673999999999999E-4</v>
      </c>
      <c r="H271">
        <v>1.1508E-4</v>
      </c>
      <c r="I271">
        <v>1.6034999999999999E-4</v>
      </c>
      <c r="J271">
        <v>4.8133100000000003E-3</v>
      </c>
    </row>
    <row r="272" spans="1:10" x14ac:dyDescent="0.3">
      <c r="A272">
        <v>253</v>
      </c>
      <c r="B272">
        <v>1260</v>
      </c>
      <c r="C272">
        <v>2.8439999999999997E-4</v>
      </c>
      <c r="D272">
        <v>1.8129999999999999E-4</v>
      </c>
      <c r="E272">
        <v>2E-8</v>
      </c>
      <c r="F272">
        <v>1.175555E-2</v>
      </c>
      <c r="G272">
        <v>2.1107999999999999E-4</v>
      </c>
      <c r="H272">
        <v>1.5152000000000001E-4</v>
      </c>
      <c r="I272">
        <v>2.1661E-4</v>
      </c>
      <c r="J272">
        <v>4.6150100000000001E-3</v>
      </c>
    </row>
    <row r="273" spans="1:10" x14ac:dyDescent="0.3">
      <c r="A273">
        <v>254</v>
      </c>
      <c r="B273">
        <v>1265</v>
      </c>
      <c r="C273">
        <v>2.8384999999999999E-4</v>
      </c>
      <c r="D273">
        <v>2.7824000000000002E-4</v>
      </c>
      <c r="E273">
        <v>2.9999999999999997E-8</v>
      </c>
      <c r="F273">
        <v>1.1321950000000001E-2</v>
      </c>
      <c r="G273">
        <v>3.2675E-4</v>
      </c>
      <c r="H273">
        <v>2.2973000000000001E-4</v>
      </c>
      <c r="I273">
        <v>3.3609999999999998E-4</v>
      </c>
      <c r="J273">
        <v>5.20317E-3</v>
      </c>
    </row>
    <row r="274" spans="1:10" x14ac:dyDescent="0.3">
      <c r="A274">
        <v>255</v>
      </c>
      <c r="B274">
        <v>1270</v>
      </c>
      <c r="C274">
        <v>2.833E-4</v>
      </c>
      <c r="D274">
        <v>2.719E-4</v>
      </c>
      <c r="E274">
        <v>2.9999999999999997E-8</v>
      </c>
      <c r="F274">
        <v>1.211689E-2</v>
      </c>
      <c r="G274">
        <v>3.2174999999999999E-4</v>
      </c>
      <c r="H274">
        <v>2.2204000000000001E-4</v>
      </c>
      <c r="I274">
        <v>3.3158999999999999E-4</v>
      </c>
      <c r="J274">
        <v>3.73405E-3</v>
      </c>
    </row>
    <row r="275" spans="1:10" x14ac:dyDescent="0.3">
      <c r="A275">
        <v>256</v>
      </c>
      <c r="B275">
        <v>1275</v>
      </c>
      <c r="C275">
        <v>2.8275000000000002E-4</v>
      </c>
      <c r="D275">
        <v>2.9045999999999998E-4</v>
      </c>
      <c r="E275">
        <v>4.0000000000000001E-8</v>
      </c>
      <c r="F275">
        <v>1.267095E-2</v>
      </c>
      <c r="G275">
        <v>3.4518999999999999E-4</v>
      </c>
      <c r="H275">
        <v>2.3572999999999999E-4</v>
      </c>
      <c r="I275">
        <v>3.5571000000000002E-4</v>
      </c>
      <c r="J275">
        <v>2.8448000000000002E-3</v>
      </c>
    </row>
    <row r="276" spans="1:10" x14ac:dyDescent="0.3">
      <c r="A276">
        <v>257</v>
      </c>
      <c r="B276">
        <v>1280</v>
      </c>
      <c r="C276">
        <v>2.8219999999999997E-4</v>
      </c>
      <c r="D276">
        <v>2.9095E-4</v>
      </c>
      <c r="E276">
        <v>5.9999999999999995E-8</v>
      </c>
      <c r="F276">
        <v>1.416448E-2</v>
      </c>
      <c r="G276">
        <v>3.4534000000000002E-4</v>
      </c>
      <c r="H276">
        <v>2.3656E-4</v>
      </c>
      <c r="I276">
        <v>3.5501E-4</v>
      </c>
      <c r="J276">
        <v>2.1537100000000001E-3</v>
      </c>
    </row>
    <row r="277" spans="1:10" x14ac:dyDescent="0.3">
      <c r="A277">
        <v>258</v>
      </c>
      <c r="B277">
        <v>1285</v>
      </c>
      <c r="C277">
        <v>2.8165999999999998E-4</v>
      </c>
      <c r="D277">
        <v>2.8362E-4</v>
      </c>
      <c r="E277">
        <v>5.9999999999999995E-8</v>
      </c>
      <c r="F277">
        <v>1.469444E-2</v>
      </c>
      <c r="G277">
        <v>3.3745999999999998E-4</v>
      </c>
      <c r="H277">
        <v>2.2979000000000001E-4</v>
      </c>
      <c r="I277">
        <v>3.4672000000000001E-4</v>
      </c>
      <c r="J277">
        <v>1.75095E-3</v>
      </c>
    </row>
    <row r="278" spans="1:10" x14ac:dyDescent="0.3">
      <c r="A278">
        <v>259</v>
      </c>
      <c r="B278">
        <v>1290</v>
      </c>
      <c r="C278">
        <v>2.8111999999999999E-4</v>
      </c>
      <c r="D278">
        <v>2.7249000000000002E-4</v>
      </c>
      <c r="E278">
        <v>7.0000000000000005E-8</v>
      </c>
      <c r="F278">
        <v>1.6043439999999999E-2</v>
      </c>
      <c r="G278">
        <v>3.2598000000000002E-4</v>
      </c>
      <c r="H278">
        <v>2.1898999999999999E-4</v>
      </c>
      <c r="I278">
        <v>3.3510000000000001E-4</v>
      </c>
      <c r="J278">
        <v>1.4856699999999999E-3</v>
      </c>
    </row>
    <row r="279" spans="1:10" x14ac:dyDescent="0.3">
      <c r="A279">
        <v>260</v>
      </c>
      <c r="B279">
        <v>1295</v>
      </c>
      <c r="C279">
        <v>2.8059E-4</v>
      </c>
      <c r="D279">
        <v>3.0893000000000001E-4</v>
      </c>
      <c r="E279">
        <v>8.0000000000000002E-8</v>
      </c>
      <c r="F279">
        <v>1.6236150000000001E-2</v>
      </c>
      <c r="G279">
        <v>3.7123000000000001E-4</v>
      </c>
      <c r="H279">
        <v>2.4662000000000002E-4</v>
      </c>
      <c r="I279">
        <v>3.8211000000000001E-4</v>
      </c>
      <c r="J279">
        <v>1.49004E-3</v>
      </c>
    </row>
    <row r="280" spans="1:10" x14ac:dyDescent="0.3">
      <c r="A280">
        <v>261</v>
      </c>
      <c r="B280">
        <v>1300</v>
      </c>
      <c r="C280">
        <v>2.8005E-4</v>
      </c>
      <c r="D280">
        <v>2.7773000000000001E-4</v>
      </c>
      <c r="E280">
        <v>8.9999999999999999E-8</v>
      </c>
      <c r="F280">
        <v>1.7247910000000002E-2</v>
      </c>
      <c r="G280">
        <v>3.3628E-4</v>
      </c>
      <c r="H280">
        <v>2.1918E-4</v>
      </c>
      <c r="I280">
        <v>3.4685E-4</v>
      </c>
      <c r="J280">
        <v>1.09735E-3</v>
      </c>
    </row>
    <row r="281" spans="1:10" x14ac:dyDescent="0.3">
      <c r="A281">
        <v>262</v>
      </c>
      <c r="B281">
        <v>1305</v>
      </c>
      <c r="C281">
        <v>2.7952000000000001E-4</v>
      </c>
      <c r="D281">
        <v>3.2152E-4</v>
      </c>
      <c r="E281">
        <v>9.9999999999999995E-8</v>
      </c>
      <c r="F281">
        <v>1.8307830000000001E-2</v>
      </c>
      <c r="G281">
        <v>3.9357999999999998E-4</v>
      </c>
      <c r="H281">
        <v>2.4945000000000002E-4</v>
      </c>
      <c r="I281">
        <v>4.0737999999999999E-4</v>
      </c>
      <c r="J281">
        <v>1.0123899999999999E-3</v>
      </c>
    </row>
    <row r="282" spans="1:10" x14ac:dyDescent="0.3">
      <c r="A282">
        <v>263</v>
      </c>
      <c r="B282">
        <v>1310</v>
      </c>
      <c r="C282">
        <v>2.7900000000000001E-4</v>
      </c>
      <c r="D282">
        <v>3.2818000000000002E-4</v>
      </c>
      <c r="E282">
        <v>1.3E-7</v>
      </c>
      <c r="F282">
        <v>2.134308E-2</v>
      </c>
      <c r="G282">
        <v>4.0588000000000001E-4</v>
      </c>
      <c r="H282">
        <v>2.5047999999999997E-4</v>
      </c>
      <c r="I282">
        <v>4.2132999999999998E-4</v>
      </c>
      <c r="J282">
        <v>8.5534999999999995E-4</v>
      </c>
    </row>
    <row r="283" spans="1:10" x14ac:dyDescent="0.3">
      <c r="A283">
        <v>264</v>
      </c>
      <c r="B283">
        <v>1315</v>
      </c>
      <c r="C283">
        <v>2.7847000000000001E-4</v>
      </c>
      <c r="D283">
        <v>2.8672000000000002E-4</v>
      </c>
      <c r="E283">
        <v>1.4999999999999999E-7</v>
      </c>
      <c r="F283">
        <v>2.4041079999999999E-2</v>
      </c>
      <c r="G283">
        <v>3.5818999999999998E-4</v>
      </c>
      <c r="H283">
        <v>2.1526E-4</v>
      </c>
      <c r="I283">
        <v>3.7275999999999998E-4</v>
      </c>
      <c r="J283">
        <v>6.8563999999999995E-4</v>
      </c>
    </row>
    <row r="284" spans="1:10" x14ac:dyDescent="0.3">
      <c r="A284">
        <v>265</v>
      </c>
      <c r="B284">
        <v>1320</v>
      </c>
      <c r="C284">
        <v>2.7795000000000001E-4</v>
      </c>
      <c r="D284">
        <v>2.8938E-4</v>
      </c>
      <c r="E284">
        <v>1.6E-7</v>
      </c>
      <c r="F284">
        <v>2.3222039999999999E-2</v>
      </c>
      <c r="G284">
        <v>3.6556000000000002E-4</v>
      </c>
      <c r="H284">
        <v>2.1320000000000001E-4</v>
      </c>
      <c r="I284">
        <v>3.8162999999999999E-4</v>
      </c>
      <c r="J284">
        <v>7.3289999999999998E-4</v>
      </c>
    </row>
    <row r="285" spans="1:10" x14ac:dyDescent="0.3">
      <c r="A285">
        <v>266</v>
      </c>
      <c r="B285">
        <v>1325</v>
      </c>
      <c r="C285">
        <v>2.7743000000000001E-4</v>
      </c>
      <c r="D285">
        <v>3.0153999999999999E-4</v>
      </c>
      <c r="E285">
        <v>1.6E-7</v>
      </c>
      <c r="F285">
        <v>2.3511110000000002E-2</v>
      </c>
      <c r="G285">
        <v>3.8357000000000002E-4</v>
      </c>
      <c r="H285">
        <v>2.1950999999999999E-4</v>
      </c>
      <c r="I285">
        <v>4.0102999999999997E-4</v>
      </c>
      <c r="J285">
        <v>8.8920000000000004E-4</v>
      </c>
    </row>
    <row r="286" spans="1:10" x14ac:dyDescent="0.3">
      <c r="A286">
        <v>267</v>
      </c>
      <c r="B286">
        <v>1330</v>
      </c>
      <c r="C286">
        <v>2.7692E-4</v>
      </c>
      <c r="D286">
        <v>2.6896E-4</v>
      </c>
      <c r="E286">
        <v>1.6E-7</v>
      </c>
      <c r="F286">
        <v>2.428197E-2</v>
      </c>
      <c r="G286">
        <v>3.4310999999999999E-4</v>
      </c>
      <c r="H286">
        <v>1.9482000000000001E-4</v>
      </c>
      <c r="I286">
        <v>3.5890999999999999E-4</v>
      </c>
      <c r="J286">
        <v>9.4671000000000002E-4</v>
      </c>
    </row>
    <row r="287" spans="1:10" x14ac:dyDescent="0.3">
      <c r="A287">
        <v>268</v>
      </c>
      <c r="B287">
        <v>1335</v>
      </c>
      <c r="C287">
        <v>2.7640999999999999E-4</v>
      </c>
      <c r="D287">
        <v>2.9643999999999997E-4</v>
      </c>
      <c r="E287">
        <v>1.6E-7</v>
      </c>
      <c r="F287">
        <v>2.3077500000000001E-2</v>
      </c>
      <c r="G287">
        <v>3.7806999999999999E-4</v>
      </c>
      <c r="H287">
        <v>2.1479999999999999E-4</v>
      </c>
      <c r="I287">
        <v>3.9547999999999997E-4</v>
      </c>
      <c r="J287">
        <v>1.2376100000000001E-3</v>
      </c>
    </row>
    <row r="288" spans="1:10" x14ac:dyDescent="0.3">
      <c r="A288">
        <v>269</v>
      </c>
      <c r="B288">
        <v>1340</v>
      </c>
      <c r="C288">
        <v>2.7589999999999998E-4</v>
      </c>
      <c r="D288">
        <v>2.7489000000000002E-4</v>
      </c>
      <c r="E288">
        <v>1.8E-7</v>
      </c>
      <c r="F288">
        <v>2.4619220000000001E-2</v>
      </c>
      <c r="G288">
        <v>3.5027000000000002E-4</v>
      </c>
      <c r="H288">
        <v>1.9951999999999999E-4</v>
      </c>
      <c r="I288">
        <v>3.6640000000000002E-4</v>
      </c>
      <c r="J288">
        <v>1.2722899999999999E-3</v>
      </c>
    </row>
    <row r="289" spans="1:10" x14ac:dyDescent="0.3">
      <c r="A289">
        <v>270</v>
      </c>
      <c r="B289">
        <v>1345</v>
      </c>
      <c r="C289">
        <v>2.7538999999999998E-4</v>
      </c>
      <c r="D289">
        <v>2.3755E-4</v>
      </c>
      <c r="E289">
        <v>1.8E-7</v>
      </c>
      <c r="F289">
        <v>2.601639E-2</v>
      </c>
      <c r="G289">
        <v>3.0232000000000002E-4</v>
      </c>
      <c r="H289">
        <v>1.7276999999999999E-4</v>
      </c>
      <c r="I289">
        <v>3.1630999999999999E-4</v>
      </c>
      <c r="J289">
        <v>1.1638200000000001E-3</v>
      </c>
    </row>
    <row r="290" spans="1:10" x14ac:dyDescent="0.3">
      <c r="A290">
        <v>271</v>
      </c>
      <c r="B290">
        <v>1350</v>
      </c>
      <c r="C290">
        <v>2.7489000000000002E-4</v>
      </c>
      <c r="D290">
        <v>2.5562000000000002E-4</v>
      </c>
      <c r="E290">
        <v>1.4999999999999999E-7</v>
      </c>
      <c r="F290">
        <v>2.3366580000000001E-2</v>
      </c>
      <c r="G290">
        <v>3.2519E-4</v>
      </c>
      <c r="H290">
        <v>1.8605999999999999E-4</v>
      </c>
      <c r="I290">
        <v>3.4026999999999999E-4</v>
      </c>
      <c r="J290">
        <v>1.2874200000000001E-3</v>
      </c>
    </row>
    <row r="291" spans="1:10" x14ac:dyDescent="0.3">
      <c r="A291">
        <v>272</v>
      </c>
      <c r="B291">
        <v>1355</v>
      </c>
      <c r="C291">
        <v>2.7439000000000001E-4</v>
      </c>
      <c r="D291">
        <v>2.7619E-4</v>
      </c>
      <c r="E291">
        <v>1.4999999999999999E-7</v>
      </c>
      <c r="F291">
        <v>2.3173860000000001E-2</v>
      </c>
      <c r="G291">
        <v>3.5146E-4</v>
      </c>
      <c r="H291">
        <v>2.0092999999999999E-4</v>
      </c>
      <c r="I291">
        <v>3.678E-4</v>
      </c>
      <c r="J291">
        <v>1.41811E-3</v>
      </c>
    </row>
    <row r="292" spans="1:10" x14ac:dyDescent="0.3">
      <c r="A292">
        <v>273</v>
      </c>
      <c r="B292">
        <v>1360</v>
      </c>
      <c r="C292">
        <v>2.7389E-4</v>
      </c>
      <c r="D292">
        <v>2.5701000000000001E-4</v>
      </c>
      <c r="E292">
        <v>1.6999999999999999E-7</v>
      </c>
      <c r="F292">
        <v>2.5438249999999999E-2</v>
      </c>
      <c r="G292">
        <v>3.2733000000000003E-4</v>
      </c>
      <c r="H292">
        <v>1.8668999999999999E-4</v>
      </c>
      <c r="I292">
        <v>3.4257999999999999E-4</v>
      </c>
      <c r="J292">
        <v>1.3121700000000001E-3</v>
      </c>
    </row>
    <row r="293" spans="1:10" x14ac:dyDescent="0.3">
      <c r="A293">
        <v>274</v>
      </c>
      <c r="B293">
        <v>1365</v>
      </c>
      <c r="C293">
        <v>2.7338999999999998E-4</v>
      </c>
      <c r="D293">
        <v>2.4654000000000001E-4</v>
      </c>
      <c r="E293">
        <v>1.9000000000000001E-7</v>
      </c>
      <c r="F293">
        <v>2.6979960000000001E-2</v>
      </c>
      <c r="G293">
        <v>3.1471E-4</v>
      </c>
      <c r="H293">
        <v>1.7836999999999999E-4</v>
      </c>
      <c r="I293">
        <v>3.2948E-4</v>
      </c>
      <c r="J293">
        <v>1.18363E-3</v>
      </c>
    </row>
    <row r="294" spans="1:10" x14ac:dyDescent="0.3">
      <c r="A294">
        <v>275</v>
      </c>
      <c r="B294">
        <v>1370</v>
      </c>
      <c r="C294">
        <v>2.7290000000000002E-4</v>
      </c>
      <c r="D294">
        <v>2.9906000000000003E-4</v>
      </c>
      <c r="E294">
        <v>1.6E-7</v>
      </c>
      <c r="F294">
        <v>2.4330149999999998E-2</v>
      </c>
      <c r="G294">
        <v>3.8251000000000002E-4</v>
      </c>
      <c r="H294">
        <v>2.1562E-4</v>
      </c>
      <c r="I294">
        <v>4.0053000000000002E-4</v>
      </c>
      <c r="J294">
        <v>1.30102E-3</v>
      </c>
    </row>
    <row r="295" spans="1:10" x14ac:dyDescent="0.3">
      <c r="A295">
        <v>276</v>
      </c>
      <c r="B295">
        <v>1375</v>
      </c>
      <c r="C295">
        <v>2.7241E-4</v>
      </c>
      <c r="D295">
        <v>3.2171000000000001E-4</v>
      </c>
      <c r="E295">
        <v>1.6999999999999999E-7</v>
      </c>
      <c r="F295">
        <v>2.495646E-2</v>
      </c>
      <c r="G295">
        <v>4.1215000000000002E-4</v>
      </c>
      <c r="H295">
        <v>2.3127E-4</v>
      </c>
      <c r="I295">
        <v>4.3144E-4</v>
      </c>
      <c r="J295">
        <v>1.1685000000000001E-3</v>
      </c>
    </row>
    <row r="296" spans="1:10" x14ac:dyDescent="0.3">
      <c r="A296">
        <v>277</v>
      </c>
      <c r="B296">
        <v>1380</v>
      </c>
      <c r="C296">
        <v>2.7191999999999999E-4</v>
      </c>
      <c r="D296">
        <v>3.0204E-4</v>
      </c>
      <c r="E296">
        <v>1.8E-7</v>
      </c>
      <c r="F296">
        <v>2.495646E-2</v>
      </c>
      <c r="G296">
        <v>3.8750999999999998E-4</v>
      </c>
      <c r="H296">
        <v>2.1657999999999999E-4</v>
      </c>
      <c r="I296">
        <v>4.0530999999999998E-4</v>
      </c>
      <c r="J296">
        <v>8.5707000000000003E-4</v>
      </c>
    </row>
    <row r="297" spans="1:10" x14ac:dyDescent="0.3">
      <c r="A297">
        <v>278</v>
      </c>
      <c r="B297">
        <v>1385</v>
      </c>
      <c r="C297">
        <v>2.7144000000000002E-4</v>
      </c>
      <c r="D297">
        <v>2.7166000000000001E-4</v>
      </c>
      <c r="E297">
        <v>1.9999999999999999E-7</v>
      </c>
      <c r="F297">
        <v>2.6209110000000001E-2</v>
      </c>
      <c r="G297">
        <v>3.4911000000000002E-4</v>
      </c>
      <c r="H297">
        <v>1.942E-4</v>
      </c>
      <c r="I297">
        <v>3.6488999999999998E-4</v>
      </c>
      <c r="J297">
        <v>5.6269999999999996E-4</v>
      </c>
    </row>
    <row r="298" spans="1:10" x14ac:dyDescent="0.3">
      <c r="A298">
        <v>279</v>
      </c>
      <c r="B298">
        <v>1390</v>
      </c>
      <c r="C298">
        <v>2.7095999999999999E-4</v>
      </c>
      <c r="D298">
        <v>2.7138999999999999E-4</v>
      </c>
      <c r="E298">
        <v>2.3999999999999998E-7</v>
      </c>
      <c r="F298">
        <v>2.82326E-2</v>
      </c>
      <c r="G298">
        <v>3.4969999999999999E-4</v>
      </c>
      <c r="H298">
        <v>1.9306999999999999E-4</v>
      </c>
      <c r="I298">
        <v>3.6536000000000001E-4</v>
      </c>
      <c r="J298">
        <v>4.4327E-4</v>
      </c>
    </row>
    <row r="299" spans="1:10" x14ac:dyDescent="0.3">
      <c r="A299">
        <v>280</v>
      </c>
      <c r="B299">
        <v>1395</v>
      </c>
      <c r="C299">
        <v>2.7048000000000003E-4</v>
      </c>
      <c r="D299">
        <v>2.7311000000000002E-4</v>
      </c>
      <c r="E299">
        <v>2.3999999999999998E-7</v>
      </c>
      <c r="F299">
        <v>2.9099819999999998E-2</v>
      </c>
      <c r="G299">
        <v>3.5335999999999999E-4</v>
      </c>
      <c r="H299">
        <v>1.9285999999999999E-4</v>
      </c>
      <c r="I299">
        <v>3.6937999999999999E-4</v>
      </c>
      <c r="J299">
        <v>4.5178999999999998E-4</v>
      </c>
    </row>
    <row r="300" spans="1:10" x14ac:dyDescent="0.3">
      <c r="A300">
        <v>281</v>
      </c>
      <c r="B300">
        <v>1400</v>
      </c>
      <c r="C300">
        <v>2.7E-4</v>
      </c>
      <c r="D300">
        <v>2.6644E-4</v>
      </c>
      <c r="E300">
        <v>2.7000000000000001E-7</v>
      </c>
      <c r="F300">
        <v>3.064153E-2</v>
      </c>
      <c r="G300">
        <v>3.4723000000000002E-4</v>
      </c>
      <c r="H300">
        <v>1.8566000000000001E-4</v>
      </c>
      <c r="I300">
        <v>3.6390000000000001E-4</v>
      </c>
      <c r="J300">
        <v>5.7129000000000001E-4</v>
      </c>
    </row>
    <row r="301" spans="1:10" x14ac:dyDescent="0.3">
      <c r="A301">
        <v>282</v>
      </c>
      <c r="B301">
        <v>1405</v>
      </c>
      <c r="C301">
        <v>2.7E-4</v>
      </c>
      <c r="D301">
        <v>2.8360000000000001E-4</v>
      </c>
      <c r="E301">
        <v>2.7000000000000001E-7</v>
      </c>
      <c r="F301">
        <v>3.1316030000000002E-2</v>
      </c>
      <c r="G301">
        <v>3.7138999999999998E-4</v>
      </c>
      <c r="H301">
        <v>1.9579999999999999E-4</v>
      </c>
      <c r="I301">
        <v>3.8998E-4</v>
      </c>
      <c r="J301">
        <v>6.7555000000000002E-4</v>
      </c>
    </row>
    <row r="302" spans="1:10" x14ac:dyDescent="0.3">
      <c r="A302">
        <v>283</v>
      </c>
      <c r="B302">
        <v>1410</v>
      </c>
      <c r="C302">
        <v>2.7E-4</v>
      </c>
      <c r="D302">
        <v>2.7551000000000002E-4</v>
      </c>
      <c r="E302">
        <v>2.7000000000000001E-7</v>
      </c>
      <c r="F302">
        <v>3.121968E-2</v>
      </c>
      <c r="G302">
        <v>3.6133999999999998E-4</v>
      </c>
      <c r="H302">
        <v>1.8968000000000001E-4</v>
      </c>
      <c r="I302">
        <v>3.7957000000000003E-4</v>
      </c>
      <c r="J302">
        <v>6.8984999999999999E-4</v>
      </c>
    </row>
    <row r="303" spans="1:10" x14ac:dyDescent="0.3">
      <c r="A303">
        <v>284</v>
      </c>
      <c r="B303">
        <v>1415</v>
      </c>
      <c r="C303">
        <v>2.7E-4</v>
      </c>
      <c r="D303">
        <v>2.6068E-4</v>
      </c>
      <c r="E303">
        <v>2.7000000000000001E-7</v>
      </c>
      <c r="F303">
        <v>3.1412389999999998E-2</v>
      </c>
      <c r="G303">
        <v>3.4205999999999999E-4</v>
      </c>
      <c r="H303">
        <v>1.7929999999999999E-4</v>
      </c>
      <c r="I303">
        <v>3.5911999999999999E-4</v>
      </c>
      <c r="J303">
        <v>7.2318999999999997E-4</v>
      </c>
    </row>
    <row r="304" spans="1:10" x14ac:dyDescent="0.3">
      <c r="A304">
        <v>285</v>
      </c>
      <c r="B304">
        <v>1420</v>
      </c>
      <c r="C304">
        <v>2.7E-4</v>
      </c>
      <c r="D304">
        <v>2.7155000000000001E-4</v>
      </c>
      <c r="E304">
        <v>2.8000000000000002E-7</v>
      </c>
      <c r="F304">
        <v>3.1894169999999999E-2</v>
      </c>
      <c r="G304">
        <v>3.5669E-4</v>
      </c>
      <c r="H304">
        <v>1.8641E-4</v>
      </c>
      <c r="I304">
        <v>3.7447000000000001E-4</v>
      </c>
      <c r="J304">
        <v>8.2321E-4</v>
      </c>
    </row>
    <row r="305" spans="1:10" x14ac:dyDescent="0.3">
      <c r="A305">
        <v>286</v>
      </c>
      <c r="B305">
        <v>1425</v>
      </c>
      <c r="C305">
        <v>2.7E-4</v>
      </c>
      <c r="D305">
        <v>2.7339999999999998E-4</v>
      </c>
      <c r="E305">
        <v>2.7000000000000001E-7</v>
      </c>
      <c r="F305">
        <v>3.073789E-2</v>
      </c>
      <c r="G305">
        <v>3.5977999999999997E-4</v>
      </c>
      <c r="H305">
        <v>1.8700999999999999E-4</v>
      </c>
      <c r="I305">
        <v>3.7785999999999999E-4</v>
      </c>
      <c r="J305">
        <v>8.8413000000000001E-4</v>
      </c>
    </row>
    <row r="306" spans="1:10" x14ac:dyDescent="0.3">
      <c r="A306">
        <v>287</v>
      </c>
      <c r="B306">
        <v>1430</v>
      </c>
      <c r="C306">
        <v>2.7E-4</v>
      </c>
      <c r="D306">
        <v>3.0614999999999999E-4</v>
      </c>
      <c r="E306">
        <v>2.8999999999999998E-7</v>
      </c>
      <c r="F306">
        <v>3.150874E-2</v>
      </c>
      <c r="G306">
        <v>4.0400000000000001E-4</v>
      </c>
      <c r="H306">
        <v>2.0830999999999999E-4</v>
      </c>
      <c r="I306">
        <v>4.2461000000000002E-4</v>
      </c>
      <c r="J306">
        <v>1.0375600000000001E-3</v>
      </c>
    </row>
    <row r="307" spans="1:10" x14ac:dyDescent="0.3">
      <c r="A307">
        <v>288</v>
      </c>
      <c r="B307">
        <v>1435</v>
      </c>
      <c r="C307">
        <v>2.7E-4</v>
      </c>
      <c r="D307">
        <v>3.4416999999999998E-4</v>
      </c>
      <c r="E307">
        <v>3.2000000000000001E-7</v>
      </c>
      <c r="F307">
        <v>3.2472309999999997E-2</v>
      </c>
      <c r="G307">
        <v>4.5514999999999998E-4</v>
      </c>
      <c r="H307">
        <v>2.3319000000000001E-4</v>
      </c>
      <c r="I307">
        <v>4.7839999999999997E-4</v>
      </c>
      <c r="J307">
        <v>1.2365500000000001E-3</v>
      </c>
    </row>
    <row r="308" spans="1:10" x14ac:dyDescent="0.3">
      <c r="A308">
        <v>289</v>
      </c>
      <c r="B308">
        <v>1440</v>
      </c>
      <c r="C308">
        <v>2.7E-4</v>
      </c>
      <c r="D308">
        <v>2.8977000000000001E-4</v>
      </c>
      <c r="E308">
        <v>2.9999999999999999E-7</v>
      </c>
      <c r="F308">
        <v>3.3339529999999999E-2</v>
      </c>
      <c r="G308">
        <v>3.8385999999999997E-4</v>
      </c>
      <c r="H308">
        <v>1.9568E-4</v>
      </c>
      <c r="I308">
        <v>4.0344000000000003E-4</v>
      </c>
      <c r="J308">
        <v>1.1461900000000001E-3</v>
      </c>
    </row>
    <row r="309" spans="1:10" x14ac:dyDescent="0.3">
      <c r="A309">
        <v>290</v>
      </c>
      <c r="B309">
        <v>1445</v>
      </c>
      <c r="C309">
        <v>2.7E-4</v>
      </c>
      <c r="D309">
        <v>2.5696999999999997E-4</v>
      </c>
      <c r="E309">
        <v>2.7000000000000001E-7</v>
      </c>
      <c r="F309">
        <v>3.1797819999999997E-2</v>
      </c>
      <c r="G309">
        <v>3.4066000000000001E-4</v>
      </c>
      <c r="H309">
        <v>1.7327999999999999E-4</v>
      </c>
      <c r="I309">
        <v>3.5803000000000001E-4</v>
      </c>
      <c r="J309">
        <v>1.07179E-3</v>
      </c>
    </row>
    <row r="310" spans="1:10" x14ac:dyDescent="0.3">
      <c r="A310">
        <v>291</v>
      </c>
      <c r="B310">
        <v>1450</v>
      </c>
      <c r="C310">
        <v>2.7E-4</v>
      </c>
      <c r="D310">
        <v>2.5556999999999999E-4</v>
      </c>
      <c r="E310">
        <v>2.4999999999999999E-7</v>
      </c>
      <c r="F310">
        <v>2.9870669999999998E-2</v>
      </c>
      <c r="G310">
        <v>3.389E-4</v>
      </c>
      <c r="H310">
        <v>1.7223999999999999E-4</v>
      </c>
      <c r="I310">
        <v>3.5598999999999998E-4</v>
      </c>
      <c r="J310">
        <v>1.04934E-3</v>
      </c>
    </row>
    <row r="311" spans="1:10" x14ac:dyDescent="0.3">
      <c r="A311">
        <v>292</v>
      </c>
      <c r="B311">
        <v>1455</v>
      </c>
      <c r="C311">
        <v>2.7E-4</v>
      </c>
      <c r="D311">
        <v>2.5405000000000002E-4</v>
      </c>
      <c r="E311">
        <v>2.9999999999999999E-7</v>
      </c>
      <c r="F311">
        <v>3.382131E-2</v>
      </c>
      <c r="G311">
        <v>3.3678000000000001E-4</v>
      </c>
      <c r="H311">
        <v>1.7131000000000001E-4</v>
      </c>
      <c r="I311">
        <v>3.5346999999999999E-4</v>
      </c>
      <c r="J311">
        <v>9.896499999999999E-4</v>
      </c>
    </row>
    <row r="312" spans="1:10" x14ac:dyDescent="0.3">
      <c r="A312">
        <v>293</v>
      </c>
      <c r="B312">
        <v>1460</v>
      </c>
      <c r="C312">
        <v>2.7E-4</v>
      </c>
      <c r="D312">
        <v>2.4696000000000001E-4</v>
      </c>
      <c r="E312">
        <v>3.4999999999999998E-7</v>
      </c>
      <c r="F312">
        <v>3.7290160000000003E-2</v>
      </c>
      <c r="G312">
        <v>3.2706E-4</v>
      </c>
      <c r="H312">
        <v>1.6686000000000001E-4</v>
      </c>
      <c r="I312">
        <v>3.4285000000000001E-4</v>
      </c>
      <c r="J312">
        <v>8.8268999999999999E-4</v>
      </c>
    </row>
    <row r="313" spans="1:10" x14ac:dyDescent="0.3">
      <c r="A313">
        <v>294</v>
      </c>
      <c r="B313">
        <v>1465</v>
      </c>
      <c r="C313">
        <v>2.7E-4</v>
      </c>
      <c r="D313">
        <v>2.6428999999999998E-4</v>
      </c>
      <c r="E313">
        <v>3.3000000000000002E-7</v>
      </c>
      <c r="F313">
        <v>3.4592169999999998E-2</v>
      </c>
      <c r="G313">
        <v>3.4968999999999999E-4</v>
      </c>
      <c r="H313">
        <v>1.7890000000000001E-4</v>
      </c>
      <c r="I313">
        <v>3.6614999999999998E-4</v>
      </c>
      <c r="J313">
        <v>8.6808000000000002E-4</v>
      </c>
    </row>
    <row r="314" spans="1:10" x14ac:dyDescent="0.3">
      <c r="A314">
        <v>295</v>
      </c>
      <c r="B314">
        <v>1470</v>
      </c>
      <c r="C314">
        <v>2.7E-4</v>
      </c>
      <c r="D314">
        <v>2.6659999999999998E-4</v>
      </c>
      <c r="E314">
        <v>3.2000000000000001E-7</v>
      </c>
      <c r="F314">
        <v>3.2761390000000001E-2</v>
      </c>
      <c r="G314">
        <v>3.5268000000000002E-4</v>
      </c>
      <c r="H314">
        <v>1.8050999999999999E-4</v>
      </c>
      <c r="I314">
        <v>3.6896999999999999E-4</v>
      </c>
      <c r="J314">
        <v>7.9918999999999997E-4</v>
      </c>
    </row>
    <row r="315" spans="1:10" x14ac:dyDescent="0.3">
      <c r="A315">
        <v>296</v>
      </c>
      <c r="B315">
        <v>1475</v>
      </c>
      <c r="C315">
        <v>2.7E-4</v>
      </c>
      <c r="D315">
        <v>2.4627999999999998E-4</v>
      </c>
      <c r="E315">
        <v>3.2000000000000001E-7</v>
      </c>
      <c r="F315">
        <v>3.4495810000000002E-2</v>
      </c>
      <c r="G315">
        <v>3.2628000000000003E-4</v>
      </c>
      <c r="H315">
        <v>1.6627999999999999E-4</v>
      </c>
      <c r="I315">
        <v>3.4123999999999998E-4</v>
      </c>
      <c r="J315">
        <v>6.7438999999999997E-4</v>
      </c>
    </row>
    <row r="316" spans="1:10" x14ac:dyDescent="0.3">
      <c r="A316">
        <v>297</v>
      </c>
      <c r="B316">
        <v>1480</v>
      </c>
      <c r="C316">
        <v>2.7E-4</v>
      </c>
      <c r="D316">
        <v>2.4527000000000001E-4</v>
      </c>
      <c r="E316">
        <v>3.3999999999999997E-7</v>
      </c>
      <c r="F316">
        <v>3.6519309999999999E-2</v>
      </c>
      <c r="G316">
        <v>3.2549E-4</v>
      </c>
      <c r="H316">
        <v>1.6505E-4</v>
      </c>
      <c r="I316">
        <v>3.4025E-4</v>
      </c>
      <c r="J316">
        <v>6.1662000000000002E-4</v>
      </c>
    </row>
    <row r="317" spans="1:10" x14ac:dyDescent="0.3">
      <c r="A317">
        <v>298</v>
      </c>
      <c r="B317">
        <v>1485</v>
      </c>
      <c r="C317">
        <v>2.7E-4</v>
      </c>
      <c r="D317">
        <v>2.4839000000000003E-4</v>
      </c>
      <c r="E317">
        <v>3.7E-7</v>
      </c>
      <c r="F317">
        <v>3.7675590000000002E-2</v>
      </c>
      <c r="G317">
        <v>3.2943000000000002E-4</v>
      </c>
      <c r="H317">
        <v>1.6736E-4</v>
      </c>
      <c r="I317">
        <v>3.4393999999999999E-4</v>
      </c>
      <c r="J317">
        <v>5.8399000000000005E-4</v>
      </c>
    </row>
    <row r="318" spans="1:10" x14ac:dyDescent="0.3">
      <c r="A318">
        <v>299</v>
      </c>
      <c r="B318">
        <v>1490</v>
      </c>
      <c r="C318">
        <v>2.7E-4</v>
      </c>
      <c r="D318">
        <v>2.787E-4</v>
      </c>
      <c r="E318">
        <v>4.2E-7</v>
      </c>
      <c r="F318">
        <v>3.9988160000000002E-2</v>
      </c>
      <c r="G318">
        <v>3.6852E-4</v>
      </c>
      <c r="H318">
        <v>1.8887999999999999E-4</v>
      </c>
      <c r="I318">
        <v>3.8390000000000001E-4</v>
      </c>
      <c r="J318">
        <v>6.0884000000000003E-4</v>
      </c>
    </row>
    <row r="319" spans="1:10" x14ac:dyDescent="0.3">
      <c r="A319">
        <v>300</v>
      </c>
      <c r="B319">
        <v>1495</v>
      </c>
      <c r="C319">
        <v>2.7E-4</v>
      </c>
      <c r="D319">
        <v>3.0469999999999998E-4</v>
      </c>
      <c r="E319">
        <v>3.9000000000000002E-7</v>
      </c>
      <c r="F319">
        <v>3.825373E-2</v>
      </c>
      <c r="G319">
        <v>4.0158000000000001E-4</v>
      </c>
      <c r="H319">
        <v>2.0781E-4</v>
      </c>
      <c r="I319">
        <v>4.1734999999999998E-4</v>
      </c>
      <c r="J319">
        <v>6.3371E-4</v>
      </c>
    </row>
    <row r="320" spans="1:10" x14ac:dyDescent="0.3">
      <c r="A320">
        <v>301</v>
      </c>
      <c r="B320">
        <v>1500</v>
      </c>
      <c r="C320">
        <v>2.7E-4</v>
      </c>
      <c r="D320">
        <v>2.8159000000000002E-4</v>
      </c>
      <c r="E320">
        <v>4.4000000000000002E-7</v>
      </c>
      <c r="F320">
        <v>4.0373590000000001E-2</v>
      </c>
      <c r="G320">
        <v>3.701E-4</v>
      </c>
      <c r="H320">
        <v>1.9307999999999999E-4</v>
      </c>
      <c r="I320">
        <v>3.837E-4</v>
      </c>
      <c r="J320">
        <v>5.5904999999999995E-4</v>
      </c>
    </row>
    <row r="321" spans="1:10" x14ac:dyDescent="0.3">
      <c r="A321">
        <v>302</v>
      </c>
      <c r="B321">
        <v>1505</v>
      </c>
      <c r="C321">
        <v>2.7E-4</v>
      </c>
      <c r="D321">
        <v>2.4936000000000001E-4</v>
      </c>
      <c r="E321">
        <v>4.9999999999999998E-7</v>
      </c>
      <c r="F321">
        <v>4.4902369999999997E-2</v>
      </c>
      <c r="G321">
        <v>3.2775000000000002E-4</v>
      </c>
      <c r="H321">
        <v>1.7096E-4</v>
      </c>
      <c r="I321">
        <v>3.3937000000000003E-4</v>
      </c>
      <c r="J321">
        <v>4.7752E-4</v>
      </c>
    </row>
    <row r="322" spans="1:10" x14ac:dyDescent="0.3">
      <c r="A322">
        <v>303</v>
      </c>
      <c r="B322">
        <v>1510</v>
      </c>
      <c r="C322">
        <v>2.7E-4</v>
      </c>
      <c r="D322">
        <v>2.5952000000000001E-4</v>
      </c>
      <c r="E322">
        <v>4.2E-7</v>
      </c>
      <c r="F322">
        <v>3.9988160000000002E-2</v>
      </c>
      <c r="G322">
        <v>3.4100999999999999E-4</v>
      </c>
      <c r="H322">
        <v>1.7803E-4</v>
      </c>
      <c r="I322">
        <v>3.5272E-4</v>
      </c>
      <c r="J322">
        <v>4.7746000000000003E-4</v>
      </c>
    </row>
    <row r="323" spans="1:10" x14ac:dyDescent="0.3">
      <c r="A323">
        <v>304</v>
      </c>
      <c r="B323">
        <v>1515</v>
      </c>
      <c r="C323">
        <v>2.7E-4</v>
      </c>
      <c r="D323">
        <v>2.5679000000000001E-4</v>
      </c>
      <c r="E323">
        <v>4.0999999999999999E-7</v>
      </c>
      <c r="F323">
        <v>3.931366E-2</v>
      </c>
      <c r="G323">
        <v>3.3735999999999998E-4</v>
      </c>
      <c r="H323">
        <v>1.7621999999999999E-4</v>
      </c>
      <c r="I323">
        <v>3.4859000000000002E-4</v>
      </c>
      <c r="J323">
        <v>4.4210000000000001E-4</v>
      </c>
    </row>
    <row r="324" spans="1:10" x14ac:dyDescent="0.3">
      <c r="A324">
        <v>305</v>
      </c>
      <c r="B324">
        <v>1520</v>
      </c>
      <c r="C324">
        <v>2.7E-4</v>
      </c>
      <c r="D324">
        <v>2.6781999999999999E-4</v>
      </c>
      <c r="E324">
        <v>4.4000000000000002E-7</v>
      </c>
      <c r="F324">
        <v>4.0277229999999997E-2</v>
      </c>
      <c r="G324">
        <v>3.5271E-4</v>
      </c>
      <c r="H324">
        <v>1.8293000000000001E-4</v>
      </c>
      <c r="I324">
        <v>3.6455E-4</v>
      </c>
      <c r="J324">
        <v>4.2792999999999998E-4</v>
      </c>
    </row>
    <row r="325" spans="1:10" x14ac:dyDescent="0.3">
      <c r="A325">
        <v>306</v>
      </c>
      <c r="B325">
        <v>1525</v>
      </c>
      <c r="C325">
        <v>2.7E-4</v>
      </c>
      <c r="D325">
        <v>2.4664000000000001E-4</v>
      </c>
      <c r="E325">
        <v>5.3000000000000001E-7</v>
      </c>
      <c r="F325">
        <v>4.6540440000000002E-2</v>
      </c>
      <c r="G325">
        <v>3.2599000000000001E-4</v>
      </c>
      <c r="H325">
        <v>1.6729000000000001E-4</v>
      </c>
      <c r="I325">
        <v>3.3709000000000001E-4</v>
      </c>
      <c r="J325">
        <v>3.6199000000000002E-4</v>
      </c>
    </row>
    <row r="326" spans="1:10" x14ac:dyDescent="0.3">
      <c r="A326">
        <v>307</v>
      </c>
      <c r="B326">
        <v>1530</v>
      </c>
      <c r="C326">
        <v>2.7E-4</v>
      </c>
      <c r="D326">
        <v>2.6397999999999998E-4</v>
      </c>
      <c r="E326">
        <v>4.8999999999999997E-7</v>
      </c>
      <c r="F326">
        <v>4.4998719999999999E-2</v>
      </c>
      <c r="G326">
        <v>3.4996000000000002E-4</v>
      </c>
      <c r="H326">
        <v>1.7799E-4</v>
      </c>
      <c r="I326">
        <v>3.6200000000000002E-4</v>
      </c>
      <c r="J326">
        <v>3.5773000000000001E-4</v>
      </c>
    </row>
    <row r="327" spans="1:10" x14ac:dyDescent="0.3">
      <c r="A327">
        <v>308</v>
      </c>
      <c r="B327">
        <v>1535</v>
      </c>
      <c r="C327">
        <v>2.7E-4</v>
      </c>
      <c r="D327">
        <v>2.5647000000000002E-4</v>
      </c>
      <c r="E327">
        <v>5.3000000000000001E-7</v>
      </c>
      <c r="F327">
        <v>4.5769579999999997E-2</v>
      </c>
      <c r="G327">
        <v>3.4115000000000003E-4</v>
      </c>
      <c r="H327">
        <v>1.7178000000000001E-4</v>
      </c>
      <c r="I327">
        <v>3.5304999999999999E-4</v>
      </c>
      <c r="J327">
        <v>3.2157000000000003E-4</v>
      </c>
    </row>
    <row r="328" spans="1:10" x14ac:dyDescent="0.3">
      <c r="A328">
        <v>309</v>
      </c>
      <c r="B328">
        <v>1540</v>
      </c>
      <c r="C328">
        <v>2.7E-4</v>
      </c>
      <c r="D328">
        <v>2.9934999999999999E-4</v>
      </c>
      <c r="E328">
        <v>5.0999999999999999E-7</v>
      </c>
      <c r="F328">
        <v>4.3360650000000001E-2</v>
      </c>
      <c r="G328">
        <v>3.9943999999999998E-4</v>
      </c>
      <c r="H328">
        <v>1.9927000000000001E-4</v>
      </c>
      <c r="I328">
        <v>4.1353000000000001E-4</v>
      </c>
      <c r="J328">
        <v>3.4814999999999998E-4</v>
      </c>
    </row>
    <row r="329" spans="1:10" x14ac:dyDescent="0.3">
      <c r="A329">
        <v>310</v>
      </c>
      <c r="B329">
        <v>1545</v>
      </c>
      <c r="C329">
        <v>2.7E-4</v>
      </c>
      <c r="D329">
        <v>2.6977000000000001E-4</v>
      </c>
      <c r="E329">
        <v>5.3000000000000001E-7</v>
      </c>
      <c r="F329">
        <v>4.5480510000000002E-2</v>
      </c>
      <c r="G329">
        <v>3.6092999999999997E-4</v>
      </c>
      <c r="H329">
        <v>1.7861E-4</v>
      </c>
      <c r="I329">
        <v>3.7368999999999998E-4</v>
      </c>
      <c r="J329">
        <v>2.9303E-4</v>
      </c>
    </row>
    <row r="330" spans="1:10" x14ac:dyDescent="0.3">
      <c r="A330">
        <v>311</v>
      </c>
      <c r="B330">
        <v>1550</v>
      </c>
      <c r="C330">
        <v>2.7E-4</v>
      </c>
      <c r="D330">
        <v>2.8519E-4</v>
      </c>
      <c r="E330">
        <v>5.8999999999999996E-7</v>
      </c>
      <c r="F330">
        <v>4.3938789999999998E-2</v>
      </c>
      <c r="G330">
        <v>3.8287E-4</v>
      </c>
      <c r="H330">
        <v>1.8751E-4</v>
      </c>
      <c r="I330">
        <v>3.9654000000000002E-4</v>
      </c>
      <c r="J330">
        <v>2.8495000000000001E-4</v>
      </c>
    </row>
    <row r="331" spans="1:10" x14ac:dyDescent="0.3">
      <c r="A331">
        <v>312</v>
      </c>
      <c r="B331">
        <v>1555</v>
      </c>
      <c r="C331">
        <v>2.7E-4</v>
      </c>
      <c r="D331">
        <v>3.0364999999999998E-4</v>
      </c>
      <c r="E331">
        <v>5.7000000000000005E-7</v>
      </c>
      <c r="F331">
        <v>4.162623E-2</v>
      </c>
      <c r="G331">
        <v>4.0889000000000002E-4</v>
      </c>
      <c r="H331">
        <v>1.9841999999999999E-4</v>
      </c>
      <c r="I331">
        <v>4.2367000000000001E-4</v>
      </c>
      <c r="J331">
        <v>2.8233000000000002E-4</v>
      </c>
    </row>
    <row r="332" spans="1:10" x14ac:dyDescent="0.3">
      <c r="A332">
        <v>313</v>
      </c>
      <c r="B332">
        <v>1560</v>
      </c>
      <c r="C332">
        <v>2.7E-4</v>
      </c>
      <c r="D332">
        <v>2.9776999999999999E-4</v>
      </c>
      <c r="E332">
        <v>5.3000000000000001E-7</v>
      </c>
      <c r="F332">
        <v>4.451695E-2</v>
      </c>
      <c r="G332">
        <v>4.0213E-4</v>
      </c>
      <c r="H332">
        <v>1.9341000000000001E-4</v>
      </c>
      <c r="I332">
        <v>4.1678E-4</v>
      </c>
      <c r="J332">
        <v>2.5588999999999999E-4</v>
      </c>
    </row>
    <row r="333" spans="1:10" x14ac:dyDescent="0.3">
      <c r="A333">
        <v>314</v>
      </c>
      <c r="B333">
        <v>1565</v>
      </c>
      <c r="C333">
        <v>2.7E-4</v>
      </c>
      <c r="D333">
        <v>2.9347999999999999E-4</v>
      </c>
      <c r="E333">
        <v>5.8999999999999996E-7</v>
      </c>
      <c r="F333">
        <v>4.8274860000000003E-2</v>
      </c>
      <c r="G333">
        <v>3.9744999999999998E-4</v>
      </c>
      <c r="H333">
        <v>1.895E-4</v>
      </c>
      <c r="I333">
        <v>4.1211999999999998E-4</v>
      </c>
      <c r="J333">
        <v>2.3232E-4</v>
      </c>
    </row>
    <row r="334" spans="1:10" x14ac:dyDescent="0.3">
      <c r="A334">
        <v>315</v>
      </c>
      <c r="B334">
        <v>1570</v>
      </c>
      <c r="C334">
        <v>2.7E-4</v>
      </c>
      <c r="D334">
        <v>2.7650999999999999E-4</v>
      </c>
      <c r="E334">
        <v>5.9999999999999997E-7</v>
      </c>
      <c r="F334">
        <v>4.8853010000000002E-2</v>
      </c>
      <c r="G334">
        <v>3.7544E-4</v>
      </c>
      <c r="H334">
        <v>1.7757999999999999E-4</v>
      </c>
      <c r="I334">
        <v>3.8936E-4</v>
      </c>
      <c r="J334">
        <v>2.1063000000000001E-4</v>
      </c>
    </row>
    <row r="335" spans="1:10" x14ac:dyDescent="0.3">
      <c r="A335">
        <v>316</v>
      </c>
      <c r="B335">
        <v>1575</v>
      </c>
      <c r="C335">
        <v>2.7E-4</v>
      </c>
      <c r="D335">
        <v>2.8737000000000001E-4</v>
      </c>
      <c r="E335">
        <v>5.7000000000000005E-7</v>
      </c>
      <c r="F335">
        <v>4.4035159999999997E-2</v>
      </c>
      <c r="G335">
        <v>3.9089000000000002E-4</v>
      </c>
      <c r="H335">
        <v>1.8385999999999999E-4</v>
      </c>
      <c r="I335">
        <v>4.0520999999999998E-4</v>
      </c>
      <c r="J335">
        <v>2.2777E-4</v>
      </c>
    </row>
    <row r="336" spans="1:10" x14ac:dyDescent="0.3">
      <c r="A336">
        <v>317</v>
      </c>
      <c r="B336">
        <v>1580</v>
      </c>
      <c r="C336">
        <v>2.7E-4</v>
      </c>
      <c r="D336">
        <v>2.6158000000000003E-4</v>
      </c>
      <c r="E336">
        <v>5.5000000000000003E-7</v>
      </c>
      <c r="F336">
        <v>4.3938789999999998E-2</v>
      </c>
      <c r="G336">
        <v>3.5572000000000002E-4</v>
      </c>
      <c r="H336">
        <v>1.6744000000000001E-4</v>
      </c>
      <c r="I336">
        <v>3.6848000000000002E-4</v>
      </c>
      <c r="J336">
        <v>2.6060999999999999E-4</v>
      </c>
    </row>
    <row r="337" spans="1:10" x14ac:dyDescent="0.3">
      <c r="A337">
        <v>318</v>
      </c>
      <c r="B337">
        <v>1585</v>
      </c>
      <c r="C337">
        <v>2.7E-4</v>
      </c>
      <c r="D337">
        <v>2.7839999999999999E-4</v>
      </c>
      <c r="E337">
        <v>5.2E-7</v>
      </c>
      <c r="F337">
        <v>4.3360650000000001E-2</v>
      </c>
      <c r="G337">
        <v>3.7794E-4</v>
      </c>
      <c r="H337">
        <v>1.7885000000000001E-4</v>
      </c>
      <c r="I337">
        <v>3.9104E-4</v>
      </c>
      <c r="J337">
        <v>3.6243000000000001E-4</v>
      </c>
    </row>
    <row r="338" spans="1:10" x14ac:dyDescent="0.3">
      <c r="A338">
        <v>319</v>
      </c>
      <c r="B338">
        <v>1590</v>
      </c>
      <c r="C338">
        <v>2.7E-4</v>
      </c>
      <c r="D338">
        <v>3.2085000000000002E-4</v>
      </c>
      <c r="E338">
        <v>5.7999999999999995E-7</v>
      </c>
      <c r="F338">
        <v>4.4035159999999997E-2</v>
      </c>
      <c r="G338">
        <v>4.3541000000000001E-4</v>
      </c>
      <c r="H338">
        <v>2.0629000000000001E-4</v>
      </c>
      <c r="I338">
        <v>4.4998E-4</v>
      </c>
      <c r="J338">
        <v>4.6077999999999999E-4</v>
      </c>
    </row>
    <row r="339" spans="1:10" x14ac:dyDescent="0.3">
      <c r="A339">
        <v>320</v>
      </c>
      <c r="B339">
        <v>1595</v>
      </c>
      <c r="C339">
        <v>2.7E-4</v>
      </c>
      <c r="D339">
        <v>3.2920999999999997E-4</v>
      </c>
      <c r="E339">
        <v>5.7000000000000005E-7</v>
      </c>
      <c r="F339">
        <v>4.2782519999999997E-2</v>
      </c>
      <c r="G339">
        <v>4.4787000000000001E-4</v>
      </c>
      <c r="H339">
        <v>2.1054999999999999E-4</v>
      </c>
      <c r="I339">
        <v>4.6256999999999998E-4</v>
      </c>
      <c r="J339">
        <v>4.4172999999999999E-4</v>
      </c>
    </row>
    <row r="340" spans="1:10" x14ac:dyDescent="0.3">
      <c r="A340">
        <v>321</v>
      </c>
      <c r="B340">
        <v>1600</v>
      </c>
      <c r="C340">
        <v>2.7E-4</v>
      </c>
      <c r="D340">
        <v>2.6970999999999999E-4</v>
      </c>
      <c r="E340">
        <v>6.0999999999999998E-7</v>
      </c>
      <c r="F340">
        <v>4.6636799999999999E-2</v>
      </c>
      <c r="G340">
        <v>3.6808000000000001E-4</v>
      </c>
      <c r="H340">
        <v>1.7133E-4</v>
      </c>
      <c r="I340">
        <v>3.8000000000000002E-4</v>
      </c>
      <c r="J340">
        <v>3.2573999999999998E-4</v>
      </c>
    </row>
    <row r="341" spans="1:10" x14ac:dyDescent="0.3">
      <c r="A341">
        <v>322</v>
      </c>
      <c r="B341">
        <v>1605</v>
      </c>
      <c r="C341">
        <v>2.7E-4</v>
      </c>
      <c r="D341">
        <v>2.3788999999999999E-4</v>
      </c>
      <c r="E341">
        <v>6.0999999999999998E-7</v>
      </c>
      <c r="F341">
        <v>4.8178510000000001E-2</v>
      </c>
      <c r="G341">
        <v>3.2577000000000002E-4</v>
      </c>
      <c r="H341">
        <v>1.4999999999999999E-4</v>
      </c>
      <c r="I341">
        <v>3.3617E-4</v>
      </c>
      <c r="J341">
        <v>2.5483999999999999E-4</v>
      </c>
    </row>
    <row r="342" spans="1:10" x14ac:dyDescent="0.3">
      <c r="A342">
        <v>323</v>
      </c>
      <c r="B342">
        <v>1610</v>
      </c>
      <c r="C342">
        <v>2.7E-4</v>
      </c>
      <c r="D342">
        <v>2.3185E-4</v>
      </c>
      <c r="E342">
        <v>5.6000000000000004E-7</v>
      </c>
      <c r="F342">
        <v>4.7022229999999998E-2</v>
      </c>
      <c r="G342">
        <v>3.1860999999999999E-4</v>
      </c>
      <c r="H342">
        <v>1.4509000000000001E-4</v>
      </c>
      <c r="I342">
        <v>3.2852000000000001E-4</v>
      </c>
      <c r="J342">
        <v>2.2377000000000001E-4</v>
      </c>
    </row>
    <row r="343" spans="1:10" x14ac:dyDescent="0.3">
      <c r="A343">
        <v>324</v>
      </c>
      <c r="B343">
        <v>1615</v>
      </c>
      <c r="C343">
        <v>2.7E-4</v>
      </c>
      <c r="D343">
        <v>2.5936999999999998E-4</v>
      </c>
      <c r="E343">
        <v>5.7999999999999995E-7</v>
      </c>
      <c r="F343">
        <v>4.5769579999999997E-2</v>
      </c>
      <c r="G343">
        <v>3.5774E-4</v>
      </c>
      <c r="H343">
        <v>1.6101000000000001E-4</v>
      </c>
      <c r="I343">
        <v>3.6891000000000002E-4</v>
      </c>
      <c r="J343">
        <v>2.2842000000000001E-4</v>
      </c>
    </row>
    <row r="344" spans="1:10" x14ac:dyDescent="0.3">
      <c r="A344">
        <v>325</v>
      </c>
      <c r="B344">
        <v>1620</v>
      </c>
      <c r="C344">
        <v>2.7E-4</v>
      </c>
      <c r="D344">
        <v>2.7897000000000002E-4</v>
      </c>
      <c r="E344">
        <v>6.5000000000000002E-7</v>
      </c>
      <c r="F344">
        <v>4.6733150000000001E-2</v>
      </c>
      <c r="G344">
        <v>3.8611E-4</v>
      </c>
      <c r="H344">
        <v>1.7183000000000001E-4</v>
      </c>
      <c r="I344">
        <v>3.9822000000000002E-4</v>
      </c>
      <c r="J344">
        <v>2.2798E-4</v>
      </c>
    </row>
    <row r="345" spans="1:10" x14ac:dyDescent="0.3">
      <c r="A345">
        <v>326</v>
      </c>
      <c r="B345">
        <v>1625</v>
      </c>
      <c r="C345">
        <v>2.7E-4</v>
      </c>
      <c r="D345">
        <v>2.5640999999999999E-4</v>
      </c>
      <c r="E345">
        <v>6.7000000000000004E-7</v>
      </c>
      <c r="F345">
        <v>4.9527500000000002E-2</v>
      </c>
      <c r="G345">
        <v>3.5586999999999999E-4</v>
      </c>
      <c r="H345">
        <v>1.5695999999999999E-4</v>
      </c>
      <c r="I345">
        <v>3.6678999999999998E-4</v>
      </c>
      <c r="J345">
        <v>1.9405E-4</v>
      </c>
    </row>
    <row r="346" spans="1:10" x14ac:dyDescent="0.3">
      <c r="A346">
        <v>327</v>
      </c>
      <c r="B346">
        <v>1630</v>
      </c>
      <c r="C346">
        <v>2.7E-4</v>
      </c>
      <c r="D346">
        <v>2.8821000000000001E-4</v>
      </c>
      <c r="E346">
        <v>5.7999999999999995E-7</v>
      </c>
      <c r="F346">
        <v>4.5095080000000003E-2</v>
      </c>
      <c r="G346">
        <v>4.0053000000000002E-4</v>
      </c>
      <c r="H346">
        <v>1.7589E-4</v>
      </c>
      <c r="I346">
        <v>4.1263999999999998E-4</v>
      </c>
      <c r="J346">
        <v>2.0422999999999999E-4</v>
      </c>
    </row>
    <row r="347" spans="1:10" x14ac:dyDescent="0.3">
      <c r="A347">
        <v>328</v>
      </c>
      <c r="B347">
        <v>1635</v>
      </c>
      <c r="C347">
        <v>2.7E-4</v>
      </c>
      <c r="D347">
        <v>2.6531999999999999E-4</v>
      </c>
      <c r="E347">
        <v>5.8999999999999996E-7</v>
      </c>
      <c r="F347">
        <v>4.7214939999999997E-2</v>
      </c>
      <c r="G347">
        <v>3.6898999999999998E-4</v>
      </c>
      <c r="H347">
        <v>1.6164E-4</v>
      </c>
      <c r="I347">
        <v>3.8008999999999997E-4</v>
      </c>
      <c r="J347">
        <v>1.7613000000000001E-4</v>
      </c>
    </row>
    <row r="348" spans="1:10" x14ac:dyDescent="0.3">
      <c r="A348">
        <v>329</v>
      </c>
      <c r="B348">
        <v>1640</v>
      </c>
      <c r="C348">
        <v>2.7E-4</v>
      </c>
      <c r="D348">
        <v>2.5221999999999999E-4</v>
      </c>
      <c r="E348">
        <v>6.5000000000000002E-7</v>
      </c>
      <c r="F348">
        <v>4.9720220000000002E-2</v>
      </c>
      <c r="G348">
        <v>3.5082000000000001E-4</v>
      </c>
      <c r="H348">
        <v>1.5362000000000001E-4</v>
      </c>
      <c r="I348">
        <v>3.6118000000000001E-4</v>
      </c>
      <c r="J348">
        <v>1.5681000000000001E-4</v>
      </c>
    </row>
    <row r="349" spans="1:10" x14ac:dyDescent="0.3">
      <c r="A349">
        <v>330</v>
      </c>
      <c r="B349">
        <v>1645</v>
      </c>
      <c r="C349">
        <v>2.7E-4</v>
      </c>
      <c r="D349">
        <v>2.2929999999999999E-4</v>
      </c>
      <c r="E349">
        <v>6.0999999999999998E-7</v>
      </c>
      <c r="F349">
        <v>4.8660290000000002E-2</v>
      </c>
      <c r="G349">
        <v>3.1911999999999999E-4</v>
      </c>
      <c r="H349">
        <v>1.3946999999999999E-4</v>
      </c>
      <c r="I349">
        <v>3.2823999999999999E-4</v>
      </c>
      <c r="J349">
        <v>1.3402999999999999E-4</v>
      </c>
    </row>
    <row r="350" spans="1:10" x14ac:dyDescent="0.3">
      <c r="A350">
        <v>331</v>
      </c>
      <c r="B350">
        <v>1650</v>
      </c>
      <c r="C350">
        <v>2.7E-4</v>
      </c>
      <c r="D350">
        <v>2.2732000000000001E-4</v>
      </c>
      <c r="E350">
        <v>6.4000000000000001E-7</v>
      </c>
      <c r="F350">
        <v>5.0876499999999998E-2</v>
      </c>
      <c r="G350">
        <v>3.1681E-4</v>
      </c>
      <c r="H350">
        <v>1.3783E-4</v>
      </c>
      <c r="I350">
        <v>3.2572999999999999E-4</v>
      </c>
      <c r="J350">
        <v>1.2447000000000001E-4</v>
      </c>
    </row>
    <row r="351" spans="1:10" x14ac:dyDescent="0.3">
      <c r="A351">
        <v>332</v>
      </c>
      <c r="B351">
        <v>1655</v>
      </c>
      <c r="C351">
        <v>2.7E-4</v>
      </c>
      <c r="D351">
        <v>2.5274E-4</v>
      </c>
      <c r="E351">
        <v>6.5000000000000002E-7</v>
      </c>
      <c r="F351">
        <v>4.9238440000000001E-2</v>
      </c>
      <c r="G351">
        <v>3.5299000000000002E-4</v>
      </c>
      <c r="H351">
        <v>1.5249E-4</v>
      </c>
      <c r="I351">
        <v>3.6279999999999998E-4</v>
      </c>
      <c r="J351">
        <v>1.3039E-4</v>
      </c>
    </row>
    <row r="352" spans="1:10" x14ac:dyDescent="0.3">
      <c r="A352">
        <v>333</v>
      </c>
      <c r="B352">
        <v>1660</v>
      </c>
      <c r="C352">
        <v>2.7E-4</v>
      </c>
      <c r="D352">
        <v>2.7281000000000001E-4</v>
      </c>
      <c r="E352">
        <v>6.6000000000000003E-7</v>
      </c>
      <c r="F352">
        <v>5.029836E-2</v>
      </c>
      <c r="G352">
        <v>3.8275000000000001E-4</v>
      </c>
      <c r="H352">
        <v>1.6286999999999999E-4</v>
      </c>
      <c r="I352">
        <v>3.9372000000000002E-4</v>
      </c>
      <c r="J352">
        <v>1.3271999999999999E-4</v>
      </c>
    </row>
    <row r="353" spans="1:10" x14ac:dyDescent="0.3">
      <c r="A353">
        <v>334</v>
      </c>
      <c r="B353">
        <v>1665</v>
      </c>
      <c r="C353">
        <v>2.7E-4</v>
      </c>
      <c r="D353">
        <v>3.2206999999999998E-4</v>
      </c>
      <c r="E353">
        <v>7.6000000000000003E-7</v>
      </c>
      <c r="F353">
        <v>5.3767210000000003E-2</v>
      </c>
      <c r="G353">
        <v>4.5487000000000001E-4</v>
      </c>
      <c r="H353">
        <v>1.8927000000000001E-4</v>
      </c>
      <c r="I353">
        <v>4.6867000000000002E-4</v>
      </c>
      <c r="J353">
        <v>1.4629000000000001E-4</v>
      </c>
    </row>
    <row r="354" spans="1:10" x14ac:dyDescent="0.3">
      <c r="A354">
        <v>335</v>
      </c>
      <c r="B354">
        <v>1670</v>
      </c>
      <c r="C354">
        <v>2.7E-4</v>
      </c>
      <c r="D354">
        <v>2.9676000000000003E-4</v>
      </c>
      <c r="E354">
        <v>7.8000000000000005E-7</v>
      </c>
      <c r="F354">
        <v>5.3767210000000003E-2</v>
      </c>
      <c r="G354">
        <v>4.2161E-4</v>
      </c>
      <c r="H354">
        <v>1.7191E-4</v>
      </c>
      <c r="I354">
        <v>4.3496000000000002E-4</v>
      </c>
      <c r="J354">
        <v>1.2710999999999999E-4</v>
      </c>
    </row>
    <row r="355" spans="1:10" x14ac:dyDescent="0.3">
      <c r="A355">
        <v>336</v>
      </c>
      <c r="B355">
        <v>1675</v>
      </c>
      <c r="C355">
        <v>2.7E-4</v>
      </c>
      <c r="D355">
        <v>2.5944999999999999E-4</v>
      </c>
      <c r="E355">
        <v>7.7000000000000004E-7</v>
      </c>
      <c r="F355">
        <v>5.6079789999999997E-2</v>
      </c>
      <c r="G355">
        <v>3.7133000000000001E-4</v>
      </c>
      <c r="H355">
        <v>1.4756E-4</v>
      </c>
      <c r="I355">
        <v>3.8390000000000001E-4</v>
      </c>
      <c r="J355">
        <v>1.0262E-4</v>
      </c>
    </row>
    <row r="356" spans="1:10" x14ac:dyDescent="0.3">
      <c r="A356">
        <v>337</v>
      </c>
      <c r="B356">
        <v>1680</v>
      </c>
      <c r="C356">
        <v>2.7E-4</v>
      </c>
      <c r="D356">
        <v>2.4439999999999998E-4</v>
      </c>
      <c r="E356">
        <v>7.9999999999999996E-7</v>
      </c>
      <c r="F356">
        <v>5.742879E-2</v>
      </c>
      <c r="G356">
        <v>3.5230999999999999E-4</v>
      </c>
      <c r="H356">
        <v>1.3650000000000001E-4</v>
      </c>
      <c r="I356">
        <v>3.6489999999999998E-4</v>
      </c>
      <c r="J356">
        <v>8.9040000000000001E-5</v>
      </c>
    </row>
    <row r="357" spans="1:10" x14ac:dyDescent="0.3">
      <c r="A357">
        <v>338</v>
      </c>
      <c r="B357">
        <v>1685</v>
      </c>
      <c r="C357">
        <v>2.7E-4</v>
      </c>
      <c r="D357">
        <v>2.4331E-4</v>
      </c>
      <c r="E357">
        <v>8.4E-7</v>
      </c>
      <c r="F357">
        <v>5.8199630000000002E-2</v>
      </c>
      <c r="G357">
        <v>3.5279000000000002E-4</v>
      </c>
      <c r="H357">
        <v>1.3383000000000001E-4</v>
      </c>
      <c r="I357">
        <v>3.6587000000000002E-4</v>
      </c>
      <c r="J357">
        <v>8.1100000000000006E-5</v>
      </c>
    </row>
    <row r="358" spans="1:10" x14ac:dyDescent="0.3">
      <c r="A358">
        <v>339</v>
      </c>
      <c r="B358">
        <v>1690</v>
      </c>
      <c r="C358">
        <v>2.7E-4</v>
      </c>
      <c r="D358">
        <v>2.7502000000000001E-4</v>
      </c>
      <c r="E358">
        <v>6.7999999999999995E-7</v>
      </c>
      <c r="F358">
        <v>5.0491080000000001E-2</v>
      </c>
      <c r="G358">
        <v>3.9997999999999998E-4</v>
      </c>
      <c r="H358">
        <v>1.5006000000000001E-4</v>
      </c>
      <c r="I358">
        <v>4.1501E-4</v>
      </c>
      <c r="J358">
        <v>8.475E-5</v>
      </c>
    </row>
    <row r="359" spans="1:10" x14ac:dyDescent="0.3">
      <c r="A359">
        <v>340</v>
      </c>
      <c r="B359">
        <v>1695</v>
      </c>
      <c r="C359">
        <v>2.7E-4</v>
      </c>
      <c r="D359">
        <v>2.6858999999999997E-4</v>
      </c>
      <c r="E359">
        <v>6.6000000000000003E-7</v>
      </c>
      <c r="F359">
        <v>4.9334790000000003E-2</v>
      </c>
      <c r="G359">
        <v>3.9123000000000001E-4</v>
      </c>
      <c r="H359">
        <v>1.4595E-4</v>
      </c>
      <c r="I359">
        <v>4.058E-4</v>
      </c>
      <c r="J359">
        <v>7.737E-5</v>
      </c>
    </row>
    <row r="360" spans="1:10" x14ac:dyDescent="0.3">
      <c r="A360">
        <v>341</v>
      </c>
      <c r="B360">
        <v>1700</v>
      </c>
      <c r="C360">
        <v>2.7E-4</v>
      </c>
      <c r="D360">
        <v>2.5956999999999998E-4</v>
      </c>
      <c r="E360">
        <v>7.1999999999999999E-7</v>
      </c>
      <c r="F360">
        <v>5.0876499999999998E-2</v>
      </c>
      <c r="G360">
        <v>3.7822000000000002E-4</v>
      </c>
      <c r="H360">
        <v>1.4092999999999999E-4</v>
      </c>
      <c r="I360">
        <v>3.9195000000000001E-4</v>
      </c>
      <c r="J360">
        <v>7.0339999999999994E-5</v>
      </c>
    </row>
    <row r="361" spans="1:10" x14ac:dyDescent="0.3">
      <c r="A361">
        <v>342</v>
      </c>
      <c r="B361">
        <v>1705</v>
      </c>
      <c r="C361">
        <v>2.7E-4</v>
      </c>
      <c r="D361">
        <v>2.8422000000000001E-4</v>
      </c>
      <c r="E361">
        <v>7.6000000000000003E-7</v>
      </c>
      <c r="F361">
        <v>5.2032790000000002E-2</v>
      </c>
      <c r="G361">
        <v>4.1406E-4</v>
      </c>
      <c r="H361">
        <v>1.5438E-4</v>
      </c>
      <c r="I361">
        <v>4.2868000000000002E-4</v>
      </c>
      <c r="J361">
        <v>7.5370000000000005E-5</v>
      </c>
    </row>
    <row r="362" spans="1:10" x14ac:dyDescent="0.3">
      <c r="A362">
        <v>343</v>
      </c>
      <c r="B362">
        <v>1710</v>
      </c>
      <c r="C362">
        <v>2.7E-4</v>
      </c>
      <c r="D362">
        <v>2.5700000000000001E-4</v>
      </c>
      <c r="E362">
        <v>7.4000000000000001E-7</v>
      </c>
      <c r="F362">
        <v>5.2803639999999999E-2</v>
      </c>
      <c r="G362">
        <v>3.7460999999999999E-4</v>
      </c>
      <c r="H362">
        <v>1.3939000000000001E-4</v>
      </c>
      <c r="I362">
        <v>3.8758999999999999E-4</v>
      </c>
      <c r="J362">
        <v>7.004E-5</v>
      </c>
    </row>
    <row r="363" spans="1:10" x14ac:dyDescent="0.3">
      <c r="A363">
        <v>344</v>
      </c>
      <c r="B363">
        <v>1715</v>
      </c>
      <c r="C363">
        <v>2.7E-4</v>
      </c>
      <c r="D363">
        <v>2.5719000000000002E-4</v>
      </c>
      <c r="E363">
        <v>6.3E-7</v>
      </c>
      <c r="F363">
        <v>4.8756639999999997E-2</v>
      </c>
      <c r="G363">
        <v>3.7575E-4</v>
      </c>
      <c r="H363">
        <v>1.3862999999999999E-4</v>
      </c>
      <c r="I363">
        <v>3.8865999999999998E-4</v>
      </c>
      <c r="J363">
        <v>7.7760000000000001E-5</v>
      </c>
    </row>
    <row r="364" spans="1:10" x14ac:dyDescent="0.3">
      <c r="A364">
        <v>345</v>
      </c>
      <c r="B364">
        <v>1720</v>
      </c>
      <c r="C364">
        <v>2.7E-4</v>
      </c>
      <c r="D364">
        <v>2.7564000000000001E-4</v>
      </c>
      <c r="E364">
        <v>7.0999999999999998E-7</v>
      </c>
      <c r="F364">
        <v>4.8853010000000002E-2</v>
      </c>
      <c r="G364">
        <v>4.0371E-4</v>
      </c>
      <c r="H364">
        <v>1.4757E-4</v>
      </c>
      <c r="I364">
        <v>4.1760000000000001E-4</v>
      </c>
      <c r="J364">
        <v>9.3480000000000006E-5</v>
      </c>
    </row>
    <row r="365" spans="1:10" x14ac:dyDescent="0.3">
      <c r="A365">
        <v>346</v>
      </c>
      <c r="B365">
        <v>1725</v>
      </c>
      <c r="C365">
        <v>2.7E-4</v>
      </c>
      <c r="D365">
        <v>2.7097999999999998E-4</v>
      </c>
      <c r="E365">
        <v>5.9999999999999997E-7</v>
      </c>
      <c r="F365">
        <v>4.7214939999999997E-2</v>
      </c>
      <c r="G365">
        <v>3.9790000000000002E-4</v>
      </c>
      <c r="H365">
        <v>1.4406E-4</v>
      </c>
      <c r="I365">
        <v>4.1167999999999999E-4</v>
      </c>
      <c r="J365">
        <v>1.0643E-4</v>
      </c>
    </row>
    <row r="366" spans="1:10" x14ac:dyDescent="0.3">
      <c r="A366">
        <v>347</v>
      </c>
      <c r="B366">
        <v>1730</v>
      </c>
      <c r="C366">
        <v>2.7E-4</v>
      </c>
      <c r="D366">
        <v>2.8434000000000001E-4</v>
      </c>
      <c r="E366">
        <v>6.0999999999999998E-7</v>
      </c>
      <c r="F366">
        <v>4.7118569999999999E-2</v>
      </c>
      <c r="G366">
        <v>4.1884000000000002E-4</v>
      </c>
      <c r="H366">
        <v>1.4983999999999999E-4</v>
      </c>
      <c r="I366">
        <v>4.3363000000000001E-4</v>
      </c>
      <c r="J366">
        <v>1.2773999999999999E-4</v>
      </c>
    </row>
    <row r="367" spans="1:10" x14ac:dyDescent="0.3">
      <c r="A367">
        <v>348</v>
      </c>
      <c r="B367">
        <v>1735</v>
      </c>
      <c r="C367">
        <v>2.7E-4</v>
      </c>
      <c r="D367">
        <v>2.6648999999999998E-4</v>
      </c>
      <c r="E367">
        <v>6.6000000000000003E-7</v>
      </c>
      <c r="F367">
        <v>4.6733150000000001E-2</v>
      </c>
      <c r="G367">
        <v>3.9374000000000001E-4</v>
      </c>
      <c r="H367">
        <v>1.3924E-4</v>
      </c>
      <c r="I367">
        <v>4.0781999999999998E-4</v>
      </c>
      <c r="J367">
        <v>1.3401E-4</v>
      </c>
    </row>
    <row r="368" spans="1:10" x14ac:dyDescent="0.3">
      <c r="A368">
        <v>349</v>
      </c>
      <c r="B368">
        <v>1740</v>
      </c>
      <c r="C368">
        <v>2.7E-4</v>
      </c>
      <c r="D368">
        <v>2.7505999999999999E-4</v>
      </c>
      <c r="E368">
        <v>5.7000000000000005E-7</v>
      </c>
      <c r="F368">
        <v>4.4709659999999998E-2</v>
      </c>
      <c r="G368">
        <v>4.0796000000000002E-4</v>
      </c>
      <c r="H368">
        <v>1.4216000000000001E-4</v>
      </c>
      <c r="I368">
        <v>4.2299999999999998E-4</v>
      </c>
      <c r="J368">
        <v>1.5542999999999999E-4</v>
      </c>
    </row>
    <row r="369" spans="1:10" x14ac:dyDescent="0.3">
      <c r="A369">
        <v>350</v>
      </c>
      <c r="B369">
        <v>1745</v>
      </c>
      <c r="C369">
        <v>2.7E-4</v>
      </c>
      <c r="D369">
        <v>2.7585000000000001E-4</v>
      </c>
      <c r="E369">
        <v>5.7999999999999995E-7</v>
      </c>
      <c r="F369">
        <v>4.5287800000000003E-2</v>
      </c>
      <c r="G369">
        <v>4.1044999999999998E-4</v>
      </c>
      <c r="H369">
        <v>1.4126000000000001E-4</v>
      </c>
      <c r="I369">
        <v>4.2587000000000001E-4</v>
      </c>
      <c r="J369">
        <v>1.6794999999999999E-4</v>
      </c>
    </row>
    <row r="370" spans="1:10" x14ac:dyDescent="0.3">
      <c r="A370">
        <v>351</v>
      </c>
      <c r="B370">
        <v>1750</v>
      </c>
      <c r="C370">
        <v>2.7E-4</v>
      </c>
      <c r="D370">
        <v>2.5778999999999998E-4</v>
      </c>
      <c r="E370">
        <v>5.9999999999999997E-7</v>
      </c>
      <c r="F370">
        <v>4.8371209999999998E-2</v>
      </c>
      <c r="G370">
        <v>3.8466999999999999E-4</v>
      </c>
      <c r="H370">
        <v>1.3091000000000001E-4</v>
      </c>
      <c r="I370">
        <v>3.9936000000000003E-4</v>
      </c>
      <c r="J370">
        <v>1.5274E-4</v>
      </c>
    </row>
    <row r="371" spans="1:10" x14ac:dyDescent="0.3">
      <c r="A371">
        <v>352</v>
      </c>
      <c r="B371">
        <v>1755</v>
      </c>
      <c r="C371">
        <v>2.7E-4</v>
      </c>
      <c r="D371">
        <v>2.6936000000000001E-4</v>
      </c>
      <c r="E371">
        <v>7.3E-7</v>
      </c>
      <c r="F371">
        <v>5.2032790000000002E-2</v>
      </c>
      <c r="G371">
        <v>4.0371E-4</v>
      </c>
      <c r="H371">
        <v>1.3501999999999999E-4</v>
      </c>
      <c r="I371">
        <v>4.1959000000000001E-4</v>
      </c>
      <c r="J371">
        <v>1.4490999999999999E-4</v>
      </c>
    </row>
    <row r="372" spans="1:10" x14ac:dyDescent="0.3">
      <c r="A372">
        <v>353</v>
      </c>
      <c r="B372">
        <v>1760</v>
      </c>
      <c r="C372">
        <v>2.7E-4</v>
      </c>
      <c r="D372">
        <v>2.8485000000000001E-4</v>
      </c>
      <c r="E372">
        <v>7.4000000000000001E-7</v>
      </c>
      <c r="F372">
        <v>5.3767210000000003E-2</v>
      </c>
      <c r="G372">
        <v>4.2780999999999998E-4</v>
      </c>
      <c r="H372">
        <v>1.4189000000000001E-4</v>
      </c>
      <c r="I372">
        <v>4.4464E-4</v>
      </c>
      <c r="J372">
        <v>1.4024999999999999E-4</v>
      </c>
    </row>
    <row r="373" spans="1:10" x14ac:dyDescent="0.3">
      <c r="A373">
        <v>354</v>
      </c>
      <c r="B373">
        <v>1765</v>
      </c>
      <c r="C373">
        <v>2.7E-4</v>
      </c>
      <c r="D373">
        <v>2.6988000000000001E-4</v>
      </c>
      <c r="E373">
        <v>6.6000000000000003E-7</v>
      </c>
      <c r="F373">
        <v>5.1069219999999999E-2</v>
      </c>
      <c r="G373">
        <v>4.0621E-4</v>
      </c>
      <c r="H373">
        <v>1.3354999999999999E-4</v>
      </c>
      <c r="I373">
        <v>4.2208000000000002E-4</v>
      </c>
      <c r="J373">
        <v>1.2176999999999999E-4</v>
      </c>
    </row>
    <row r="374" spans="1:10" x14ac:dyDescent="0.3">
      <c r="A374">
        <v>355</v>
      </c>
      <c r="B374">
        <v>1770</v>
      </c>
      <c r="C374">
        <v>2.7E-4</v>
      </c>
      <c r="D374">
        <v>2.6526000000000002E-4</v>
      </c>
      <c r="E374">
        <v>6.7999999999999995E-7</v>
      </c>
      <c r="F374">
        <v>4.9912930000000001E-2</v>
      </c>
      <c r="G374">
        <v>4.0077E-4</v>
      </c>
      <c r="H374">
        <v>1.2973999999999999E-4</v>
      </c>
      <c r="I374">
        <v>4.1689E-4</v>
      </c>
      <c r="J374">
        <v>1.1208E-4</v>
      </c>
    </row>
    <row r="375" spans="1:10" x14ac:dyDescent="0.3">
      <c r="A375">
        <v>356</v>
      </c>
      <c r="B375">
        <v>1775</v>
      </c>
      <c r="C375">
        <v>2.7E-4</v>
      </c>
      <c r="D375">
        <v>2.6818000000000002E-4</v>
      </c>
      <c r="E375">
        <v>6.8999999999999996E-7</v>
      </c>
      <c r="F375">
        <v>4.9527500000000002E-2</v>
      </c>
      <c r="G375">
        <v>4.0622E-4</v>
      </c>
      <c r="H375">
        <v>1.3014E-4</v>
      </c>
      <c r="I375">
        <v>4.2276E-4</v>
      </c>
      <c r="J375">
        <v>1.0581000000000001E-4</v>
      </c>
    </row>
    <row r="376" spans="1:10" x14ac:dyDescent="0.3">
      <c r="A376">
        <v>357</v>
      </c>
      <c r="B376">
        <v>1780</v>
      </c>
      <c r="C376">
        <v>2.7E-4</v>
      </c>
      <c r="D376">
        <v>2.7703E-4</v>
      </c>
      <c r="E376">
        <v>6.1999999999999999E-7</v>
      </c>
      <c r="F376">
        <v>4.8082140000000002E-2</v>
      </c>
      <c r="G376">
        <v>4.2072000000000002E-4</v>
      </c>
      <c r="H376">
        <v>1.3333999999999999E-4</v>
      </c>
      <c r="I376">
        <v>4.3785999999999999E-4</v>
      </c>
      <c r="J376">
        <v>1.0217000000000001E-4</v>
      </c>
    </row>
    <row r="377" spans="1:10" x14ac:dyDescent="0.3">
      <c r="A377">
        <v>358</v>
      </c>
      <c r="B377">
        <v>1785</v>
      </c>
      <c r="C377">
        <v>2.7E-4</v>
      </c>
      <c r="D377">
        <v>2.8756000000000002E-4</v>
      </c>
      <c r="E377">
        <v>6.5000000000000002E-7</v>
      </c>
      <c r="F377">
        <v>4.9334790000000003E-2</v>
      </c>
      <c r="G377">
        <v>4.3879999999999999E-4</v>
      </c>
      <c r="H377">
        <v>1.3632E-4</v>
      </c>
      <c r="I377">
        <v>4.5721999999999999E-4</v>
      </c>
      <c r="J377">
        <v>9.6050000000000004E-5</v>
      </c>
    </row>
    <row r="378" spans="1:10" x14ac:dyDescent="0.3">
      <c r="A378">
        <v>359</v>
      </c>
      <c r="B378">
        <v>1790</v>
      </c>
      <c r="C378">
        <v>2.7E-4</v>
      </c>
      <c r="D378">
        <v>2.8929999999999998E-4</v>
      </c>
      <c r="E378">
        <v>5.9999999999999997E-7</v>
      </c>
      <c r="F378">
        <v>4.7022229999999998E-2</v>
      </c>
      <c r="G378">
        <v>4.4289999999999998E-4</v>
      </c>
      <c r="H378">
        <v>1.3569999999999999E-4</v>
      </c>
      <c r="I378">
        <v>4.6173999999999998E-4</v>
      </c>
      <c r="J378">
        <v>8.4679999999999996E-5</v>
      </c>
    </row>
    <row r="379" spans="1:10" x14ac:dyDescent="0.3">
      <c r="A379">
        <v>360</v>
      </c>
      <c r="B379">
        <v>1795</v>
      </c>
      <c r="C379">
        <v>2.7E-4</v>
      </c>
      <c r="D379">
        <v>2.8323999999999998E-4</v>
      </c>
      <c r="E379">
        <v>6.7000000000000004E-7</v>
      </c>
      <c r="F379">
        <v>4.9720220000000002E-2</v>
      </c>
      <c r="G379">
        <v>4.3519000000000001E-4</v>
      </c>
      <c r="H379">
        <v>1.3129E-4</v>
      </c>
      <c r="I379">
        <v>4.5403000000000002E-4</v>
      </c>
      <c r="J379">
        <v>6.7379999999999995E-5</v>
      </c>
    </row>
    <row r="380" spans="1:10" x14ac:dyDescent="0.3">
      <c r="A380">
        <v>361</v>
      </c>
      <c r="B380">
        <v>1800</v>
      </c>
      <c r="C380">
        <v>2.7E-4</v>
      </c>
      <c r="D380">
        <v>2.8992999999999998E-4</v>
      </c>
      <c r="E380">
        <v>7.1999999999999999E-7</v>
      </c>
      <c r="F380">
        <v>5.1454640000000003E-2</v>
      </c>
      <c r="G380">
        <v>4.4653E-4</v>
      </c>
      <c r="H380">
        <v>1.3332E-4</v>
      </c>
      <c r="I380">
        <v>4.6581999999999998E-4</v>
      </c>
      <c r="J380">
        <v>5.1199999999999998E-5</v>
      </c>
    </row>
    <row r="381" spans="1:10" x14ac:dyDescent="0.3">
      <c r="A381">
        <v>362</v>
      </c>
      <c r="B381">
        <v>1805</v>
      </c>
      <c r="C381">
        <v>2.6750999999999999E-4</v>
      </c>
      <c r="D381">
        <v>2.8633E-4</v>
      </c>
      <c r="E381">
        <v>7.6000000000000003E-7</v>
      </c>
      <c r="F381">
        <v>5.241821E-2</v>
      </c>
      <c r="G381">
        <v>4.4192E-4</v>
      </c>
      <c r="H381">
        <v>1.3072999999999999E-4</v>
      </c>
      <c r="I381">
        <v>4.6069999999999998E-4</v>
      </c>
      <c r="J381">
        <v>3.7610000000000001E-5</v>
      </c>
    </row>
    <row r="382" spans="1:10" x14ac:dyDescent="0.3">
      <c r="A382">
        <v>363</v>
      </c>
      <c r="B382">
        <v>1810</v>
      </c>
      <c r="C382">
        <v>2.6506000000000001E-4</v>
      </c>
      <c r="D382">
        <v>2.9912E-4</v>
      </c>
      <c r="E382">
        <v>6.5000000000000002E-7</v>
      </c>
      <c r="F382">
        <v>4.7214939999999997E-2</v>
      </c>
      <c r="G382">
        <v>4.6327E-4</v>
      </c>
      <c r="H382">
        <v>1.3498000000000001E-4</v>
      </c>
      <c r="I382">
        <v>4.8309999999999998E-4</v>
      </c>
      <c r="J382">
        <v>6.02E-5</v>
      </c>
    </row>
    <row r="383" spans="1:10" x14ac:dyDescent="0.3">
      <c r="A383">
        <v>364</v>
      </c>
      <c r="B383">
        <v>1815</v>
      </c>
      <c r="C383">
        <v>2.6263000000000002E-4</v>
      </c>
      <c r="D383">
        <v>2.7605000000000001E-4</v>
      </c>
      <c r="E383">
        <v>6.5000000000000002E-7</v>
      </c>
      <c r="F383">
        <v>4.8178510000000001E-2</v>
      </c>
      <c r="G383">
        <v>4.2622E-4</v>
      </c>
      <c r="H383">
        <v>1.2588000000000001E-4</v>
      </c>
      <c r="I383">
        <v>4.4369E-4</v>
      </c>
      <c r="J383">
        <v>1.5569999999999999E-4</v>
      </c>
    </row>
    <row r="384" spans="1:10" x14ac:dyDescent="0.3">
      <c r="A384">
        <v>365</v>
      </c>
      <c r="B384">
        <v>1820</v>
      </c>
      <c r="C384">
        <v>2.6023000000000002E-4</v>
      </c>
      <c r="D384">
        <v>2.5323000000000001E-4</v>
      </c>
      <c r="E384">
        <v>5.6000000000000004E-7</v>
      </c>
      <c r="F384">
        <v>4.6347720000000002E-2</v>
      </c>
      <c r="G384">
        <v>3.8830000000000001E-4</v>
      </c>
      <c r="H384">
        <v>1.1817E-4</v>
      </c>
      <c r="I384">
        <v>4.0272000000000002E-4</v>
      </c>
      <c r="J384">
        <v>2.1248999999999999E-4</v>
      </c>
    </row>
    <row r="385" spans="1:10" x14ac:dyDescent="0.3">
      <c r="A385">
        <v>366</v>
      </c>
      <c r="B385">
        <v>1825</v>
      </c>
      <c r="C385">
        <v>2.5786E-4</v>
      </c>
      <c r="D385">
        <v>2.7308999999999998E-4</v>
      </c>
      <c r="E385">
        <v>5.7000000000000005E-7</v>
      </c>
      <c r="F385">
        <v>4.7600370000000003E-2</v>
      </c>
      <c r="G385">
        <v>4.1829999999999998E-4</v>
      </c>
      <c r="H385">
        <v>1.2788E-4</v>
      </c>
      <c r="I385">
        <v>4.3299000000000001E-4</v>
      </c>
      <c r="J385">
        <v>2.0036000000000001E-4</v>
      </c>
    </row>
    <row r="386" spans="1:10" x14ac:dyDescent="0.3">
      <c r="A386">
        <v>367</v>
      </c>
      <c r="B386">
        <v>1830</v>
      </c>
      <c r="C386">
        <v>2.5552000000000002E-4</v>
      </c>
      <c r="D386">
        <v>2.8688999999999999E-4</v>
      </c>
      <c r="E386">
        <v>5.8999999999999996E-7</v>
      </c>
      <c r="F386">
        <v>4.8949369999999999E-2</v>
      </c>
      <c r="G386">
        <v>4.4013E-4</v>
      </c>
      <c r="H386">
        <v>1.3365E-4</v>
      </c>
      <c r="I386">
        <v>4.5540000000000001E-4</v>
      </c>
      <c r="J386">
        <v>1.6364999999999999E-4</v>
      </c>
    </row>
    <row r="387" spans="1:10" x14ac:dyDescent="0.3">
      <c r="A387">
        <v>368</v>
      </c>
      <c r="B387">
        <v>1835</v>
      </c>
      <c r="C387">
        <v>2.5319999999999997E-4</v>
      </c>
      <c r="D387">
        <v>2.6541999999999999E-4</v>
      </c>
      <c r="E387">
        <v>5.3000000000000001E-7</v>
      </c>
      <c r="F387">
        <v>4.6251359999999998E-2</v>
      </c>
      <c r="G387">
        <v>4.0735000000000001E-4</v>
      </c>
      <c r="H387">
        <v>1.2349999999999999E-4</v>
      </c>
      <c r="I387">
        <v>4.2097E-4</v>
      </c>
      <c r="J387">
        <v>1.2472000000000001E-4</v>
      </c>
    </row>
    <row r="388" spans="1:10" x14ac:dyDescent="0.3">
      <c r="A388">
        <v>369</v>
      </c>
      <c r="B388">
        <v>1840</v>
      </c>
      <c r="C388">
        <v>2.5092000000000002E-4</v>
      </c>
      <c r="D388">
        <v>2.7180999999999999E-4</v>
      </c>
      <c r="E388">
        <v>5.4000000000000002E-7</v>
      </c>
      <c r="F388">
        <v>4.480601E-2</v>
      </c>
      <c r="G388">
        <v>4.1766999999999998E-4</v>
      </c>
      <c r="H388">
        <v>1.2595999999999999E-4</v>
      </c>
      <c r="I388">
        <v>4.3123E-4</v>
      </c>
      <c r="J388">
        <v>1.0699E-4</v>
      </c>
    </row>
    <row r="389" spans="1:10" x14ac:dyDescent="0.3">
      <c r="A389">
        <v>370</v>
      </c>
      <c r="B389">
        <v>1845</v>
      </c>
      <c r="C389">
        <v>2.4865999999999999E-4</v>
      </c>
      <c r="D389">
        <v>3.1836000000000001E-4</v>
      </c>
      <c r="E389">
        <v>4.5999999999999999E-7</v>
      </c>
      <c r="F389">
        <v>3.931366E-2</v>
      </c>
      <c r="G389">
        <v>4.9021999999999998E-4</v>
      </c>
      <c r="H389">
        <v>1.4650000000000001E-4</v>
      </c>
      <c r="I389">
        <v>5.0591999999999998E-4</v>
      </c>
      <c r="J389">
        <v>1.1003E-4</v>
      </c>
    </row>
    <row r="390" spans="1:10" x14ac:dyDescent="0.3">
      <c r="A390">
        <v>371</v>
      </c>
      <c r="B390">
        <v>1850</v>
      </c>
      <c r="C390">
        <v>2.4642000000000002E-4</v>
      </c>
      <c r="D390">
        <v>2.8872000000000001E-4</v>
      </c>
      <c r="E390">
        <v>5.0999999999999999E-7</v>
      </c>
      <c r="F390">
        <v>4.3457009999999997E-2</v>
      </c>
      <c r="G390">
        <v>4.4506999999999999E-4</v>
      </c>
      <c r="H390">
        <v>1.3237000000000001E-4</v>
      </c>
      <c r="I390">
        <v>4.5907000000000001E-4</v>
      </c>
      <c r="J390">
        <v>9.1210000000000003E-5</v>
      </c>
    </row>
    <row r="391" spans="1:10" x14ac:dyDescent="0.3">
      <c r="A391">
        <v>372</v>
      </c>
      <c r="B391">
        <v>1855</v>
      </c>
      <c r="C391">
        <v>2.4421000000000002E-4</v>
      </c>
      <c r="D391">
        <v>2.1828E-4</v>
      </c>
      <c r="E391">
        <v>5.3000000000000001E-7</v>
      </c>
      <c r="F391">
        <v>4.8082140000000002E-2</v>
      </c>
      <c r="G391">
        <v>3.3725999999999998E-4</v>
      </c>
      <c r="H391">
        <v>9.9300000000000001E-5</v>
      </c>
      <c r="I391">
        <v>3.4783999999999998E-4</v>
      </c>
      <c r="J391">
        <v>6.2030000000000001E-5</v>
      </c>
    </row>
    <row r="392" spans="1:10" x14ac:dyDescent="0.3">
      <c r="A392">
        <v>373</v>
      </c>
      <c r="B392">
        <v>1860</v>
      </c>
      <c r="C392">
        <v>2.4203000000000001E-4</v>
      </c>
      <c r="D392">
        <v>2.3472E-4</v>
      </c>
      <c r="E392">
        <v>5.2E-7</v>
      </c>
      <c r="F392">
        <v>4.6636799999999999E-2</v>
      </c>
      <c r="G392">
        <v>3.6359000000000001E-4</v>
      </c>
      <c r="H392">
        <v>1.0585E-4</v>
      </c>
      <c r="I392">
        <v>3.7500000000000001E-4</v>
      </c>
      <c r="J392">
        <v>6.0999999999999999E-5</v>
      </c>
    </row>
    <row r="393" spans="1:10" x14ac:dyDescent="0.3">
      <c r="A393">
        <v>374</v>
      </c>
      <c r="B393">
        <v>1865</v>
      </c>
      <c r="C393">
        <v>2.3986999999999999E-4</v>
      </c>
      <c r="D393">
        <v>2.8896E-4</v>
      </c>
      <c r="E393">
        <v>5.4000000000000002E-7</v>
      </c>
      <c r="F393">
        <v>4.5287800000000003E-2</v>
      </c>
      <c r="G393">
        <v>4.4850000000000001E-4</v>
      </c>
      <c r="H393">
        <v>1.2941999999999999E-4</v>
      </c>
      <c r="I393">
        <v>4.6241000000000001E-4</v>
      </c>
      <c r="J393">
        <v>7.0710000000000006E-5</v>
      </c>
    </row>
    <row r="394" spans="1:10" x14ac:dyDescent="0.3">
      <c r="A394">
        <v>375</v>
      </c>
      <c r="B394">
        <v>1870</v>
      </c>
      <c r="C394">
        <v>2.3774000000000001E-4</v>
      </c>
      <c r="D394">
        <v>2.6337000000000002E-4</v>
      </c>
      <c r="E394">
        <v>4.7999999999999996E-7</v>
      </c>
      <c r="F394">
        <v>4.5384149999999998E-2</v>
      </c>
      <c r="G394">
        <v>4.0936E-4</v>
      </c>
      <c r="H394">
        <v>1.1739E-4</v>
      </c>
      <c r="I394">
        <v>4.2192999999999999E-4</v>
      </c>
      <c r="J394">
        <v>6.2890000000000003E-5</v>
      </c>
    </row>
    <row r="395" spans="1:10" x14ac:dyDescent="0.3">
      <c r="A395">
        <v>376</v>
      </c>
      <c r="B395">
        <v>1875</v>
      </c>
      <c r="C395">
        <v>2.3562999999999999E-4</v>
      </c>
      <c r="D395">
        <v>2.2722000000000001E-4</v>
      </c>
      <c r="E395">
        <v>4.7E-7</v>
      </c>
      <c r="F395">
        <v>4.567322E-2</v>
      </c>
      <c r="G395">
        <v>3.5380999999999998E-4</v>
      </c>
      <c r="H395">
        <v>1.0062E-4</v>
      </c>
      <c r="I395">
        <v>3.6445999999999999E-4</v>
      </c>
      <c r="J395">
        <v>5.4889999999999998E-5</v>
      </c>
    </row>
    <row r="396" spans="1:10" x14ac:dyDescent="0.3">
      <c r="A396">
        <v>377</v>
      </c>
      <c r="B396">
        <v>1880</v>
      </c>
      <c r="C396">
        <v>2.3355000000000001E-4</v>
      </c>
      <c r="D396">
        <v>2.2609E-4</v>
      </c>
      <c r="E396">
        <v>4.9999999999999998E-7</v>
      </c>
      <c r="F396">
        <v>4.8563929999999998E-2</v>
      </c>
      <c r="G396">
        <v>3.5286999999999997E-4</v>
      </c>
      <c r="H396">
        <v>9.9309999999999996E-5</v>
      </c>
      <c r="I396">
        <v>3.6340999999999999E-4</v>
      </c>
      <c r="J396">
        <v>5.6280000000000003E-5</v>
      </c>
    </row>
    <row r="397" spans="1:10" x14ac:dyDescent="0.3">
      <c r="A397">
        <v>378</v>
      </c>
      <c r="B397">
        <v>1885</v>
      </c>
      <c r="C397">
        <v>2.3148999999999999E-4</v>
      </c>
      <c r="D397">
        <v>2.3575000000000001E-4</v>
      </c>
      <c r="E397">
        <v>3.9999999999999998E-7</v>
      </c>
      <c r="F397">
        <v>4.2975220000000001E-2</v>
      </c>
      <c r="G397">
        <v>3.6853999999999999E-4</v>
      </c>
      <c r="H397">
        <v>1.0296E-4</v>
      </c>
      <c r="I397">
        <v>3.7936000000000003E-4</v>
      </c>
      <c r="J397">
        <v>5.9719999999999997E-5</v>
      </c>
    </row>
    <row r="398" spans="1:10" x14ac:dyDescent="0.3">
      <c r="A398">
        <v>379</v>
      </c>
      <c r="B398">
        <v>1890</v>
      </c>
      <c r="C398">
        <v>2.2944999999999999E-4</v>
      </c>
      <c r="D398">
        <v>1.9678999999999999E-4</v>
      </c>
      <c r="E398">
        <v>3.8000000000000001E-7</v>
      </c>
      <c r="F398">
        <v>4.1337159999999998E-2</v>
      </c>
      <c r="G398">
        <v>3.0822999999999999E-4</v>
      </c>
      <c r="H398">
        <v>8.5359999999999996E-5</v>
      </c>
      <c r="I398">
        <v>3.1719000000000002E-4</v>
      </c>
      <c r="J398">
        <v>4.9820000000000001E-5</v>
      </c>
    </row>
    <row r="399" spans="1:10" x14ac:dyDescent="0.3">
      <c r="A399">
        <v>380</v>
      </c>
      <c r="B399">
        <v>1895</v>
      </c>
      <c r="C399">
        <v>2.2744E-4</v>
      </c>
      <c r="D399">
        <v>1.9545000000000001E-4</v>
      </c>
      <c r="E399">
        <v>3.9000000000000002E-7</v>
      </c>
      <c r="F399">
        <v>4.2108010000000001E-2</v>
      </c>
      <c r="G399">
        <v>3.0682000000000002E-4</v>
      </c>
      <c r="H399">
        <v>8.4079999999999995E-5</v>
      </c>
      <c r="I399">
        <v>3.1578999999999998E-4</v>
      </c>
      <c r="J399">
        <v>4.8600000000000002E-5</v>
      </c>
    </row>
    <row r="400" spans="1:10" x14ac:dyDescent="0.3">
      <c r="A400">
        <v>381</v>
      </c>
      <c r="B400">
        <v>1900</v>
      </c>
      <c r="C400">
        <v>2.2545E-4</v>
      </c>
      <c r="D400">
        <v>1.9281999999999999E-4</v>
      </c>
      <c r="E400">
        <v>3.8000000000000001E-7</v>
      </c>
      <c r="F400">
        <v>4.162623E-2</v>
      </c>
      <c r="G400">
        <v>3.0325000000000003E-4</v>
      </c>
      <c r="H400">
        <v>8.2379999999999994E-5</v>
      </c>
      <c r="I400">
        <v>3.1198E-4</v>
      </c>
      <c r="J400">
        <v>4.6329999999999999E-5</v>
      </c>
    </row>
    <row r="401" spans="1:10" x14ac:dyDescent="0.3">
      <c r="A401">
        <v>382</v>
      </c>
      <c r="B401">
        <v>1905</v>
      </c>
      <c r="C401">
        <v>2.2347999999999999E-4</v>
      </c>
      <c r="D401">
        <v>2.3682E-4</v>
      </c>
      <c r="E401">
        <v>3.7E-7</v>
      </c>
      <c r="F401">
        <v>3.8735520000000002E-2</v>
      </c>
      <c r="G401">
        <v>3.7315999999999998E-4</v>
      </c>
      <c r="H401">
        <v>1.0048E-4</v>
      </c>
      <c r="I401">
        <v>3.8364999999999997E-4</v>
      </c>
      <c r="J401">
        <v>5.4969999999999997E-5</v>
      </c>
    </row>
    <row r="402" spans="1:10" x14ac:dyDescent="0.3">
      <c r="A402">
        <v>383</v>
      </c>
      <c r="B402">
        <v>1910</v>
      </c>
      <c r="C402">
        <v>2.2154E-4</v>
      </c>
      <c r="D402">
        <v>2.4821000000000001E-4</v>
      </c>
      <c r="E402">
        <v>3.7E-7</v>
      </c>
      <c r="F402">
        <v>4.0084519999999998E-2</v>
      </c>
      <c r="G402">
        <v>3.9176E-4</v>
      </c>
      <c r="H402">
        <v>1.0465E-4</v>
      </c>
      <c r="I402">
        <v>4.0250000000000003E-4</v>
      </c>
      <c r="J402">
        <v>5.5760000000000001E-5</v>
      </c>
    </row>
    <row r="403" spans="1:10" x14ac:dyDescent="0.3">
      <c r="A403">
        <v>384</v>
      </c>
      <c r="B403">
        <v>1915</v>
      </c>
      <c r="C403">
        <v>2.1960999999999999E-4</v>
      </c>
      <c r="D403">
        <v>2.3321999999999999E-4</v>
      </c>
      <c r="E403">
        <v>3.8000000000000001E-7</v>
      </c>
      <c r="F403">
        <v>4.0951729999999999E-2</v>
      </c>
      <c r="G403">
        <v>3.6870000000000002E-4</v>
      </c>
      <c r="H403">
        <v>9.7739999999999996E-5</v>
      </c>
      <c r="I403">
        <v>3.7847999999999999E-4</v>
      </c>
      <c r="J403">
        <v>5.0380000000000002E-5</v>
      </c>
    </row>
    <row r="404" spans="1:10" x14ac:dyDescent="0.3">
      <c r="A404">
        <v>385</v>
      </c>
      <c r="B404">
        <v>1920</v>
      </c>
      <c r="C404">
        <v>2.1771E-4</v>
      </c>
      <c r="D404">
        <v>2.3895000000000001E-4</v>
      </c>
      <c r="E404">
        <v>3.5999999999999999E-7</v>
      </c>
      <c r="F404">
        <v>3.8061020000000001E-2</v>
      </c>
      <c r="G404">
        <v>3.7845000000000001E-4</v>
      </c>
      <c r="H404">
        <v>9.9450000000000005E-5</v>
      </c>
      <c r="I404">
        <v>3.8849000000000002E-4</v>
      </c>
      <c r="J404">
        <v>4.9190000000000002E-5</v>
      </c>
    </row>
    <row r="405" spans="1:10" x14ac:dyDescent="0.3">
      <c r="A405">
        <v>386</v>
      </c>
      <c r="B405">
        <v>1925</v>
      </c>
      <c r="C405">
        <v>2.1583E-4</v>
      </c>
      <c r="D405">
        <v>2.3693E-4</v>
      </c>
      <c r="E405">
        <v>3.4999999999999998E-7</v>
      </c>
      <c r="F405">
        <v>3.8639159999999999E-2</v>
      </c>
      <c r="G405">
        <v>3.7605000000000001E-4</v>
      </c>
      <c r="H405">
        <v>9.7800000000000006E-5</v>
      </c>
      <c r="I405">
        <v>3.8584999999999997E-4</v>
      </c>
      <c r="J405">
        <v>4.6050000000000001E-5</v>
      </c>
    </row>
    <row r="406" spans="1:10" x14ac:dyDescent="0.3">
      <c r="A406">
        <v>387</v>
      </c>
      <c r="B406">
        <v>1930</v>
      </c>
      <c r="C406">
        <v>2.1397000000000001E-4</v>
      </c>
      <c r="D406">
        <v>2.5661999999999999E-4</v>
      </c>
      <c r="E406">
        <v>3.2000000000000001E-7</v>
      </c>
      <c r="F406">
        <v>3.7290160000000003E-2</v>
      </c>
      <c r="G406">
        <v>4.0811999999999999E-4</v>
      </c>
      <c r="H406">
        <v>1.0512E-4</v>
      </c>
      <c r="I406">
        <v>4.1857999999999999E-4</v>
      </c>
      <c r="J406">
        <v>4.7450000000000001E-5</v>
      </c>
    </row>
    <row r="407" spans="1:10" x14ac:dyDescent="0.3">
      <c r="A407">
        <v>388</v>
      </c>
      <c r="B407">
        <v>1935</v>
      </c>
      <c r="C407">
        <v>2.1212999999999999E-4</v>
      </c>
      <c r="D407">
        <v>2.2212999999999999E-4</v>
      </c>
      <c r="E407">
        <v>3.4999999999999998E-7</v>
      </c>
      <c r="F407">
        <v>4.0662660000000003E-2</v>
      </c>
      <c r="G407">
        <v>3.5407E-4</v>
      </c>
      <c r="H407">
        <v>9.0190000000000002E-5</v>
      </c>
      <c r="I407">
        <v>3.6298E-4</v>
      </c>
      <c r="J407">
        <v>3.8720000000000002E-5</v>
      </c>
    </row>
    <row r="408" spans="1:10" x14ac:dyDescent="0.3">
      <c r="A408">
        <v>389</v>
      </c>
      <c r="B408">
        <v>1940</v>
      </c>
      <c r="C408">
        <v>2.1032000000000001E-4</v>
      </c>
      <c r="D408">
        <v>2.3771E-4</v>
      </c>
      <c r="E408">
        <v>3.3999999999999997E-7</v>
      </c>
      <c r="F408">
        <v>4.0855370000000002E-2</v>
      </c>
      <c r="G408">
        <v>3.7981000000000001E-4</v>
      </c>
      <c r="H408">
        <v>9.5610000000000001E-5</v>
      </c>
      <c r="I408">
        <v>3.8943000000000002E-4</v>
      </c>
      <c r="J408">
        <v>3.9280000000000003E-5</v>
      </c>
    </row>
    <row r="409" spans="1:10" x14ac:dyDescent="0.3">
      <c r="A409">
        <v>390</v>
      </c>
      <c r="B409">
        <v>1945</v>
      </c>
      <c r="C409">
        <v>2.0851999999999999E-4</v>
      </c>
      <c r="D409">
        <v>2.3048E-4</v>
      </c>
      <c r="E409">
        <v>2.8999999999999998E-7</v>
      </c>
      <c r="F409">
        <v>3.6326589999999999E-2</v>
      </c>
      <c r="G409">
        <v>3.6896999999999999E-4</v>
      </c>
      <c r="H409">
        <v>9.1979999999999997E-5</v>
      </c>
      <c r="I409">
        <v>3.7835000000000001E-4</v>
      </c>
      <c r="J409">
        <v>3.6369999999999999E-5</v>
      </c>
    </row>
    <row r="410" spans="1:10" x14ac:dyDescent="0.3">
      <c r="A410">
        <v>391</v>
      </c>
      <c r="B410">
        <v>1950</v>
      </c>
      <c r="C410">
        <v>2.0673999999999999E-4</v>
      </c>
      <c r="D410">
        <v>2.085E-4</v>
      </c>
      <c r="E410">
        <v>2.4999999999999999E-7</v>
      </c>
      <c r="F410">
        <v>3.3724949999999997E-2</v>
      </c>
      <c r="G410">
        <v>3.3428E-4</v>
      </c>
      <c r="H410">
        <v>8.2709999999999999E-5</v>
      </c>
      <c r="I410">
        <v>3.4253000000000002E-4</v>
      </c>
      <c r="J410">
        <v>3.1279999999999999E-5</v>
      </c>
    </row>
    <row r="411" spans="1:10" x14ac:dyDescent="0.3">
      <c r="A411">
        <v>392</v>
      </c>
      <c r="B411">
        <v>1955</v>
      </c>
      <c r="C411">
        <v>2.0498000000000001E-4</v>
      </c>
      <c r="D411">
        <v>1.9887999999999999E-4</v>
      </c>
      <c r="E411">
        <v>2.2999999999999999E-7</v>
      </c>
      <c r="F411">
        <v>3.3243170000000002E-2</v>
      </c>
      <c r="G411">
        <v>3.1954999999999999E-4</v>
      </c>
      <c r="H411">
        <v>7.8209999999999998E-5</v>
      </c>
      <c r="I411">
        <v>3.2741999999999998E-4</v>
      </c>
      <c r="J411">
        <v>2.7949999999999998E-5</v>
      </c>
    </row>
    <row r="412" spans="1:10" x14ac:dyDescent="0.3">
      <c r="A412">
        <v>393</v>
      </c>
      <c r="B412">
        <v>1960</v>
      </c>
      <c r="C412">
        <v>2.0324000000000001E-4</v>
      </c>
      <c r="D412">
        <v>1.8636E-4</v>
      </c>
      <c r="E412">
        <v>2.3999999999999998E-7</v>
      </c>
      <c r="F412">
        <v>3.468852E-2</v>
      </c>
      <c r="G412">
        <v>3.0005E-4</v>
      </c>
      <c r="H412">
        <v>7.2659999999999999E-5</v>
      </c>
      <c r="I412">
        <v>3.0747000000000001E-4</v>
      </c>
      <c r="J412">
        <v>2.455E-5</v>
      </c>
    </row>
    <row r="413" spans="1:10" x14ac:dyDescent="0.3">
      <c r="A413">
        <v>394</v>
      </c>
      <c r="B413">
        <v>1965</v>
      </c>
      <c r="C413">
        <v>2.0152000000000001E-4</v>
      </c>
      <c r="D413">
        <v>2.2133999999999999E-4</v>
      </c>
      <c r="E413">
        <v>2.2000000000000001E-7</v>
      </c>
      <c r="F413">
        <v>3.362859E-2</v>
      </c>
      <c r="G413">
        <v>3.5719000000000001E-4</v>
      </c>
      <c r="H413">
        <v>8.5489999999999996E-5</v>
      </c>
      <c r="I413">
        <v>3.6608000000000002E-4</v>
      </c>
      <c r="J413">
        <v>2.6959999999999999E-5</v>
      </c>
    </row>
    <row r="414" spans="1:10" x14ac:dyDescent="0.3">
      <c r="A414">
        <v>395</v>
      </c>
      <c r="B414">
        <v>1970</v>
      </c>
      <c r="C414">
        <v>1.9981999999999999E-4</v>
      </c>
      <c r="D414">
        <v>2.3855999999999999E-4</v>
      </c>
      <c r="E414">
        <v>2.4999999999999999E-7</v>
      </c>
      <c r="F414">
        <v>3.4303090000000001E-2</v>
      </c>
      <c r="G414">
        <v>3.8573999999999998E-4</v>
      </c>
      <c r="H414">
        <v>9.1379999999999996E-5</v>
      </c>
      <c r="I414">
        <v>3.9539000000000002E-4</v>
      </c>
      <c r="J414">
        <v>2.7209999999999999E-5</v>
      </c>
    </row>
    <row r="415" spans="1:10" x14ac:dyDescent="0.3">
      <c r="A415">
        <v>396</v>
      </c>
      <c r="B415">
        <v>1975</v>
      </c>
      <c r="C415">
        <v>1.9814E-4</v>
      </c>
      <c r="D415">
        <v>2.3141000000000001E-4</v>
      </c>
      <c r="E415">
        <v>2.7000000000000001E-7</v>
      </c>
      <c r="F415">
        <v>3.7193810000000001E-2</v>
      </c>
      <c r="G415">
        <v>3.7507000000000003E-4</v>
      </c>
      <c r="H415">
        <v>8.7750000000000005E-5</v>
      </c>
      <c r="I415">
        <v>3.8439000000000002E-4</v>
      </c>
      <c r="J415">
        <v>2.4470000000000001E-5</v>
      </c>
    </row>
    <row r="416" spans="1:10" x14ac:dyDescent="0.3">
      <c r="A416">
        <v>397</v>
      </c>
      <c r="B416">
        <v>1980</v>
      </c>
      <c r="C416">
        <v>1.9647999999999999E-4</v>
      </c>
      <c r="D416">
        <v>1.8883999999999999E-4</v>
      </c>
      <c r="E416">
        <v>2.2999999999999999E-7</v>
      </c>
      <c r="F416">
        <v>3.4495810000000002E-2</v>
      </c>
      <c r="G416">
        <v>3.0677999999999999E-4</v>
      </c>
      <c r="H416">
        <v>7.0900000000000002E-5</v>
      </c>
      <c r="I416">
        <v>3.144E-4</v>
      </c>
      <c r="J416">
        <v>1.8660000000000001E-5</v>
      </c>
    </row>
    <row r="417" spans="1:10" x14ac:dyDescent="0.3">
      <c r="A417">
        <v>398</v>
      </c>
      <c r="B417">
        <v>1985</v>
      </c>
      <c r="C417">
        <v>1.9483E-4</v>
      </c>
      <c r="D417">
        <v>1.7352000000000001E-4</v>
      </c>
      <c r="E417">
        <v>1.9999999999999999E-7</v>
      </c>
      <c r="F417">
        <v>3.29541E-2</v>
      </c>
      <c r="G417">
        <v>2.8257E-4</v>
      </c>
      <c r="H417">
        <v>6.4480000000000006E-5</v>
      </c>
      <c r="I417">
        <v>2.8960999999999999E-4</v>
      </c>
      <c r="J417">
        <v>1.5829999999999999E-5</v>
      </c>
    </row>
    <row r="418" spans="1:10" x14ac:dyDescent="0.3">
      <c r="A418">
        <v>399</v>
      </c>
      <c r="B418">
        <v>1990</v>
      </c>
      <c r="C418">
        <v>1.9320000000000001E-4</v>
      </c>
      <c r="D418">
        <v>2.1483E-4</v>
      </c>
      <c r="E418">
        <v>1.6999999999999999E-7</v>
      </c>
      <c r="F418">
        <v>2.9292530000000001E-2</v>
      </c>
      <c r="G418">
        <v>3.5064999999999999E-4</v>
      </c>
      <c r="H418">
        <v>7.9010000000000004E-5</v>
      </c>
      <c r="I418">
        <v>3.5942E-4</v>
      </c>
      <c r="J418">
        <v>1.8090000000000001E-5</v>
      </c>
    </row>
    <row r="419" spans="1:10" x14ac:dyDescent="0.3">
      <c r="A419">
        <v>400</v>
      </c>
      <c r="B419">
        <v>1995</v>
      </c>
      <c r="C419">
        <v>1.9159E-4</v>
      </c>
      <c r="D419">
        <v>2.1215000000000001E-4</v>
      </c>
      <c r="E419">
        <v>1.6E-7</v>
      </c>
      <c r="F419">
        <v>2.9292530000000001E-2</v>
      </c>
      <c r="G419">
        <v>3.4714000000000001E-4</v>
      </c>
      <c r="H419">
        <v>7.716E-5</v>
      </c>
      <c r="I419">
        <v>3.5591000000000003E-4</v>
      </c>
      <c r="J419">
        <v>1.679E-5</v>
      </c>
    </row>
    <row r="420" spans="1:10" x14ac:dyDescent="0.3">
      <c r="A420">
        <v>401</v>
      </c>
      <c r="B420">
        <v>2000</v>
      </c>
      <c r="C420">
        <v>1.9000000000000001E-4</v>
      </c>
      <c r="D420">
        <v>1.6432999999999999E-4</v>
      </c>
      <c r="E420">
        <v>2.2999999999999999E-7</v>
      </c>
      <c r="F420">
        <v>3.6904729999999997E-2</v>
      </c>
      <c r="G420">
        <v>2.6960999999999999E-4</v>
      </c>
      <c r="H420">
        <v>5.9049999999999999E-5</v>
      </c>
      <c r="I420">
        <v>2.7650999999999999E-4</v>
      </c>
      <c r="J420">
        <v>1.2330000000000001E-5</v>
      </c>
    </row>
    <row r="421" spans="1:10" x14ac:dyDescent="0.3">
      <c r="A421">
        <v>402</v>
      </c>
      <c r="B421">
        <v>2005</v>
      </c>
      <c r="C421">
        <v>0</v>
      </c>
      <c r="D421">
        <v>6.9250000000000003E-5</v>
      </c>
      <c r="E421">
        <v>0</v>
      </c>
      <c r="F421">
        <v>0</v>
      </c>
      <c r="G421">
        <v>1.1386E-4</v>
      </c>
      <c r="H421">
        <v>2.4649999999999999E-5</v>
      </c>
      <c r="I421">
        <v>1.1681E-4</v>
      </c>
      <c r="J421">
        <v>5.04E-6</v>
      </c>
    </row>
    <row r="422" spans="1:10" x14ac:dyDescent="0.3">
      <c r="A422">
        <v>403</v>
      </c>
      <c r="B422">
        <v>2010</v>
      </c>
      <c r="C422">
        <v>0</v>
      </c>
      <c r="D422">
        <v>7.4499999999999998E-6</v>
      </c>
      <c r="E422">
        <v>0</v>
      </c>
      <c r="F422">
        <v>0</v>
      </c>
      <c r="G422">
        <v>1.226E-5</v>
      </c>
      <c r="H422">
        <v>2.6299999999999998E-6</v>
      </c>
      <c r="I422">
        <v>1.257E-5</v>
      </c>
      <c r="J422">
        <v>5.5000000000000003E-7</v>
      </c>
    </row>
    <row r="423" spans="1:10" x14ac:dyDescent="0.3">
      <c r="A423">
        <v>404</v>
      </c>
      <c r="B423">
        <v>2015</v>
      </c>
      <c r="C423">
        <v>0</v>
      </c>
      <c r="D423">
        <v>1.3E-7</v>
      </c>
      <c r="E423">
        <v>0</v>
      </c>
      <c r="F423">
        <v>0</v>
      </c>
      <c r="G423">
        <v>2.1E-7</v>
      </c>
      <c r="H423">
        <v>4.0000000000000001E-8</v>
      </c>
      <c r="I423">
        <v>2.2000000000000001E-7</v>
      </c>
      <c r="J423">
        <v>1E-8</v>
      </c>
    </row>
    <row r="424" spans="1:10" x14ac:dyDescent="0.3">
      <c r="A424">
        <v>405</v>
      </c>
      <c r="B424">
        <v>2020</v>
      </c>
      <c r="C424">
        <v>0</v>
      </c>
      <c r="D424">
        <v>2.9999999999999997E-8</v>
      </c>
      <c r="E424">
        <v>0</v>
      </c>
      <c r="F424">
        <v>0</v>
      </c>
      <c r="G424">
        <v>5.9999999999999995E-8</v>
      </c>
      <c r="H424">
        <v>1E-8</v>
      </c>
      <c r="I424">
        <v>5.9999999999999995E-8</v>
      </c>
      <c r="J424">
        <v>1E-8</v>
      </c>
    </row>
    <row r="425" spans="1:10" x14ac:dyDescent="0.3">
      <c r="A425">
        <v>406</v>
      </c>
      <c r="B425">
        <v>2025</v>
      </c>
      <c r="C425">
        <v>0</v>
      </c>
      <c r="D425">
        <v>2E-8</v>
      </c>
      <c r="E425">
        <v>0</v>
      </c>
      <c r="F425">
        <v>0</v>
      </c>
      <c r="G425">
        <v>4.0000000000000001E-8</v>
      </c>
      <c r="H425">
        <v>1E-8</v>
      </c>
      <c r="I425">
        <v>4.0000000000000001E-8</v>
      </c>
      <c r="J425">
        <v>1E-8</v>
      </c>
    </row>
    <row r="426" spans="1:10" x14ac:dyDescent="0.3">
      <c r="A426">
        <v>407</v>
      </c>
      <c r="B426">
        <v>2030</v>
      </c>
      <c r="C426">
        <v>0</v>
      </c>
      <c r="D426">
        <v>2E-8</v>
      </c>
      <c r="E426">
        <v>0</v>
      </c>
      <c r="F426">
        <v>0</v>
      </c>
      <c r="G426">
        <v>2.9999999999999997E-8</v>
      </c>
      <c r="H426">
        <v>1E-8</v>
      </c>
      <c r="I426">
        <v>4.0000000000000001E-8</v>
      </c>
      <c r="J426">
        <v>1E-8</v>
      </c>
    </row>
    <row r="427" spans="1:10" x14ac:dyDescent="0.3">
      <c r="A427">
        <v>408</v>
      </c>
      <c r="B427">
        <v>2035</v>
      </c>
      <c r="C427">
        <v>0</v>
      </c>
      <c r="D427">
        <v>2E-8</v>
      </c>
      <c r="E427">
        <v>0</v>
      </c>
      <c r="F427">
        <v>0</v>
      </c>
      <c r="G427">
        <v>4.0000000000000001E-8</v>
      </c>
      <c r="H427">
        <v>1E-8</v>
      </c>
      <c r="I427">
        <v>4.0000000000000001E-8</v>
      </c>
      <c r="J427">
        <v>1E-8</v>
      </c>
    </row>
    <row r="428" spans="1:10" x14ac:dyDescent="0.3">
      <c r="A428">
        <v>409</v>
      </c>
      <c r="B428">
        <v>2040</v>
      </c>
      <c r="C428">
        <v>0</v>
      </c>
      <c r="D428">
        <v>2.9999999999999997E-8</v>
      </c>
      <c r="E428">
        <v>0</v>
      </c>
      <c r="F428">
        <v>0</v>
      </c>
      <c r="G428">
        <v>4.0000000000000001E-8</v>
      </c>
      <c r="H428">
        <v>1E-8</v>
      </c>
      <c r="I428">
        <v>4.9999999999999998E-8</v>
      </c>
      <c r="J428">
        <v>2E-8</v>
      </c>
    </row>
    <row r="429" spans="1:10" x14ac:dyDescent="0.3">
      <c r="A429">
        <v>410</v>
      </c>
      <c r="B429">
        <v>2045</v>
      </c>
      <c r="C429">
        <v>0</v>
      </c>
      <c r="D429">
        <v>2E-8</v>
      </c>
      <c r="E429">
        <v>0</v>
      </c>
      <c r="F429">
        <v>0</v>
      </c>
      <c r="G429">
        <v>4.0000000000000001E-8</v>
      </c>
      <c r="H429">
        <v>1E-8</v>
      </c>
      <c r="I429">
        <v>4.0000000000000001E-8</v>
      </c>
      <c r="J429">
        <v>1E-8</v>
      </c>
    </row>
    <row r="430" spans="1:10" x14ac:dyDescent="0.3">
      <c r="A430">
        <v>411</v>
      </c>
      <c r="B430">
        <v>2050</v>
      </c>
      <c r="C430">
        <v>0</v>
      </c>
      <c r="D430">
        <v>2.9999999999999997E-8</v>
      </c>
      <c r="E430">
        <v>0</v>
      </c>
      <c r="F430">
        <v>0</v>
      </c>
      <c r="G430">
        <v>4.0000000000000001E-8</v>
      </c>
      <c r="H430">
        <v>1E-8</v>
      </c>
      <c r="I430">
        <v>4.0000000000000001E-8</v>
      </c>
      <c r="J430">
        <v>1E-8</v>
      </c>
    </row>
    <row r="431" spans="1:10" x14ac:dyDescent="0.3">
      <c r="A431">
        <v>412</v>
      </c>
      <c r="B431">
        <v>2055</v>
      </c>
      <c r="C431">
        <v>0</v>
      </c>
      <c r="D431">
        <v>2E-8</v>
      </c>
      <c r="E431">
        <v>0</v>
      </c>
      <c r="F431">
        <v>0</v>
      </c>
      <c r="G431">
        <v>4.0000000000000001E-8</v>
      </c>
      <c r="H431">
        <v>1E-8</v>
      </c>
      <c r="I431">
        <v>4.0000000000000001E-8</v>
      </c>
      <c r="J431">
        <v>1E-8</v>
      </c>
    </row>
    <row r="432" spans="1:10" x14ac:dyDescent="0.3">
      <c r="A432">
        <v>413</v>
      </c>
      <c r="B432">
        <v>2060</v>
      </c>
      <c r="C432">
        <v>0</v>
      </c>
      <c r="D432">
        <v>2.9999999999999997E-8</v>
      </c>
      <c r="E432">
        <v>0</v>
      </c>
      <c r="F432">
        <v>0</v>
      </c>
      <c r="G432">
        <v>4.0000000000000001E-8</v>
      </c>
      <c r="H432">
        <v>1E-8</v>
      </c>
      <c r="I432">
        <v>4.9999999999999998E-8</v>
      </c>
      <c r="J432">
        <v>1E-8</v>
      </c>
    </row>
    <row r="433" spans="1:10" x14ac:dyDescent="0.3">
      <c r="A433">
        <v>414</v>
      </c>
      <c r="B433">
        <v>2065</v>
      </c>
      <c r="C433">
        <v>0</v>
      </c>
      <c r="D433">
        <v>2.9999999999999997E-8</v>
      </c>
      <c r="E433">
        <v>0</v>
      </c>
      <c r="F433">
        <v>0</v>
      </c>
      <c r="G433">
        <v>4.9999999999999998E-8</v>
      </c>
      <c r="H433">
        <v>1E-8</v>
      </c>
      <c r="I433">
        <v>4.9999999999999998E-8</v>
      </c>
      <c r="J433">
        <v>1E-8</v>
      </c>
    </row>
    <row r="434" spans="1:10" x14ac:dyDescent="0.3">
      <c r="A434">
        <v>415</v>
      </c>
      <c r="B434">
        <v>2070</v>
      </c>
      <c r="C434">
        <v>0</v>
      </c>
      <c r="D434">
        <v>2.9999999999999997E-8</v>
      </c>
      <c r="E434">
        <v>0</v>
      </c>
      <c r="F434">
        <v>0</v>
      </c>
      <c r="G434">
        <v>4.9999999999999998E-8</v>
      </c>
      <c r="H434">
        <v>1E-8</v>
      </c>
      <c r="I434">
        <v>4.9999999999999998E-8</v>
      </c>
      <c r="J434">
        <v>1E-8</v>
      </c>
    </row>
    <row r="435" spans="1:10" x14ac:dyDescent="0.3">
      <c r="A435">
        <v>416</v>
      </c>
      <c r="B435">
        <v>2075</v>
      </c>
      <c r="C435">
        <v>0</v>
      </c>
      <c r="D435">
        <v>2.9999999999999997E-8</v>
      </c>
      <c r="E435">
        <v>0</v>
      </c>
      <c r="F435">
        <v>0</v>
      </c>
      <c r="G435">
        <v>5.9999999999999995E-8</v>
      </c>
      <c r="H435">
        <v>1E-8</v>
      </c>
      <c r="I435">
        <v>5.9999999999999995E-8</v>
      </c>
      <c r="J435">
        <v>1E-8</v>
      </c>
    </row>
    <row r="436" spans="1:10" x14ac:dyDescent="0.3">
      <c r="A436">
        <v>417</v>
      </c>
      <c r="B436">
        <v>2080</v>
      </c>
      <c r="C436">
        <v>0</v>
      </c>
      <c r="D436">
        <v>4.9999999999999998E-8</v>
      </c>
      <c r="E436">
        <v>0</v>
      </c>
      <c r="F436">
        <v>0</v>
      </c>
      <c r="G436">
        <v>8.0000000000000002E-8</v>
      </c>
      <c r="H436">
        <v>1E-8</v>
      </c>
      <c r="I436">
        <v>8.0000000000000002E-8</v>
      </c>
      <c r="J436">
        <v>1E-8</v>
      </c>
    </row>
    <row r="437" spans="1:10" x14ac:dyDescent="0.3">
      <c r="A437">
        <v>418</v>
      </c>
      <c r="B437">
        <v>2085</v>
      </c>
      <c r="C437">
        <v>0</v>
      </c>
      <c r="D437">
        <v>4.9999999999999998E-8</v>
      </c>
      <c r="E437">
        <v>0</v>
      </c>
      <c r="F437">
        <v>0</v>
      </c>
      <c r="G437">
        <v>8.9999999999999999E-8</v>
      </c>
      <c r="H437">
        <v>2E-8</v>
      </c>
      <c r="I437">
        <v>9.9999999999999995E-8</v>
      </c>
      <c r="J437">
        <v>1E-8</v>
      </c>
    </row>
    <row r="438" spans="1:10" x14ac:dyDescent="0.3">
      <c r="A438">
        <v>419</v>
      </c>
      <c r="B438">
        <v>2090</v>
      </c>
      <c r="C438">
        <v>0</v>
      </c>
      <c r="D438">
        <v>5.9999999999999995E-8</v>
      </c>
      <c r="E438">
        <v>0</v>
      </c>
      <c r="F438">
        <v>0</v>
      </c>
      <c r="G438">
        <v>9.9999999999999995E-8</v>
      </c>
      <c r="H438">
        <v>2E-8</v>
      </c>
      <c r="I438">
        <v>9.9999999999999995E-8</v>
      </c>
      <c r="J438">
        <v>1E-8</v>
      </c>
    </row>
    <row r="439" spans="1:10" x14ac:dyDescent="0.3">
      <c r="A439">
        <v>420</v>
      </c>
      <c r="B439">
        <v>2095</v>
      </c>
      <c r="C439">
        <v>0</v>
      </c>
      <c r="D439">
        <v>8.9999999999999999E-8</v>
      </c>
      <c r="E439">
        <v>0</v>
      </c>
      <c r="F439">
        <v>0</v>
      </c>
      <c r="G439">
        <v>1.6E-7</v>
      </c>
      <c r="H439">
        <v>2E-8</v>
      </c>
      <c r="I439">
        <v>1.6E-7</v>
      </c>
      <c r="J439">
        <v>2E-8</v>
      </c>
    </row>
    <row r="440" spans="1:10" x14ac:dyDescent="0.3">
      <c r="A440">
        <v>421</v>
      </c>
      <c r="B440">
        <v>2100</v>
      </c>
      <c r="C440">
        <v>0</v>
      </c>
      <c r="D440">
        <v>1.3E-7</v>
      </c>
      <c r="E440">
        <v>0</v>
      </c>
      <c r="F440">
        <v>0</v>
      </c>
      <c r="G440">
        <v>2.2999999999999999E-7</v>
      </c>
      <c r="H440">
        <v>4.0000000000000001E-8</v>
      </c>
      <c r="I440">
        <v>2.3999999999999998E-7</v>
      </c>
      <c r="J440">
        <v>4.0000000000000001E-8</v>
      </c>
    </row>
    <row r="441" spans="1:10" x14ac:dyDescent="0.3">
      <c r="A441">
        <v>422</v>
      </c>
      <c r="B441">
        <v>2105</v>
      </c>
      <c r="C441">
        <v>0</v>
      </c>
      <c r="D441">
        <v>1.1000000000000001E-7</v>
      </c>
      <c r="E441">
        <v>0</v>
      </c>
      <c r="F441">
        <v>0</v>
      </c>
      <c r="G441">
        <v>1.9999999999999999E-7</v>
      </c>
      <c r="H441">
        <v>2.9999999999999997E-8</v>
      </c>
      <c r="I441">
        <v>2.1E-7</v>
      </c>
      <c r="J441">
        <v>2.9999999999999997E-8</v>
      </c>
    </row>
    <row r="442" spans="1:10" x14ac:dyDescent="0.3">
      <c r="A442">
        <v>423</v>
      </c>
      <c r="B442">
        <v>2110</v>
      </c>
      <c r="C442">
        <v>0</v>
      </c>
      <c r="D442">
        <v>1.1000000000000001E-7</v>
      </c>
      <c r="E442">
        <v>0</v>
      </c>
      <c r="F442">
        <v>0</v>
      </c>
      <c r="G442">
        <v>1.9000000000000001E-7</v>
      </c>
      <c r="H442">
        <v>2.9999999999999997E-8</v>
      </c>
      <c r="I442">
        <v>1.9999999999999999E-7</v>
      </c>
      <c r="J442">
        <v>2.9999999999999997E-8</v>
      </c>
    </row>
    <row r="443" spans="1:10" x14ac:dyDescent="0.3">
      <c r="A443">
        <v>424</v>
      </c>
      <c r="B443">
        <v>2115</v>
      </c>
      <c r="C443">
        <v>0</v>
      </c>
      <c r="D443">
        <v>1.4999999999999999E-7</v>
      </c>
      <c r="E443">
        <v>0</v>
      </c>
      <c r="F443">
        <v>0</v>
      </c>
      <c r="G443">
        <v>2.6E-7</v>
      </c>
      <c r="H443">
        <v>4.0000000000000001E-8</v>
      </c>
      <c r="I443">
        <v>2.8000000000000002E-7</v>
      </c>
      <c r="J443">
        <v>4.9999999999999998E-8</v>
      </c>
    </row>
    <row r="444" spans="1:10" x14ac:dyDescent="0.3">
      <c r="A444">
        <v>425</v>
      </c>
      <c r="B444">
        <v>2120</v>
      </c>
      <c r="C444">
        <v>0</v>
      </c>
      <c r="D444">
        <v>1.6999999999999999E-7</v>
      </c>
      <c r="E444">
        <v>0</v>
      </c>
      <c r="F444">
        <v>0</v>
      </c>
      <c r="G444">
        <v>2.9999999999999999E-7</v>
      </c>
      <c r="H444">
        <v>4.0000000000000001E-8</v>
      </c>
      <c r="I444">
        <v>3.1E-7</v>
      </c>
      <c r="J444">
        <v>4.9999999999999998E-8</v>
      </c>
    </row>
    <row r="445" spans="1:10" x14ac:dyDescent="0.3">
      <c r="A445">
        <v>426</v>
      </c>
      <c r="B445">
        <v>2125</v>
      </c>
      <c r="C445">
        <v>0</v>
      </c>
      <c r="D445">
        <v>1.6999999999999999E-7</v>
      </c>
      <c r="E445">
        <v>0</v>
      </c>
      <c r="F445">
        <v>0</v>
      </c>
      <c r="G445">
        <v>2.8999999999999998E-7</v>
      </c>
      <c r="H445">
        <v>4.0000000000000001E-8</v>
      </c>
      <c r="I445">
        <v>2.9999999999999999E-7</v>
      </c>
      <c r="J445">
        <v>4.9999999999999998E-8</v>
      </c>
    </row>
    <row r="446" spans="1:10" x14ac:dyDescent="0.3">
      <c r="A446">
        <v>427</v>
      </c>
      <c r="B446">
        <v>2130</v>
      </c>
      <c r="C446">
        <v>0</v>
      </c>
      <c r="D446">
        <v>1.9999999999999999E-7</v>
      </c>
      <c r="E446">
        <v>0</v>
      </c>
      <c r="F446">
        <v>0</v>
      </c>
      <c r="G446">
        <v>3.4999999999999998E-7</v>
      </c>
      <c r="H446">
        <v>4.9999999999999998E-8</v>
      </c>
      <c r="I446">
        <v>3.5999999999999999E-7</v>
      </c>
      <c r="J446">
        <v>4.9999999999999998E-8</v>
      </c>
    </row>
    <row r="447" spans="1:10" x14ac:dyDescent="0.3">
      <c r="A447">
        <v>428</v>
      </c>
      <c r="B447">
        <v>2135</v>
      </c>
      <c r="C447">
        <v>0</v>
      </c>
      <c r="D447">
        <v>2.3999999999999998E-7</v>
      </c>
      <c r="E447">
        <v>0</v>
      </c>
      <c r="F447">
        <v>0</v>
      </c>
      <c r="G447">
        <v>4.3000000000000001E-7</v>
      </c>
      <c r="H447">
        <v>5.9999999999999995E-8</v>
      </c>
      <c r="I447">
        <v>4.4999999999999998E-7</v>
      </c>
      <c r="J447">
        <v>5.9999999999999995E-8</v>
      </c>
    </row>
    <row r="448" spans="1:10" x14ac:dyDescent="0.3">
      <c r="A448">
        <v>429</v>
      </c>
      <c r="B448">
        <v>2140</v>
      </c>
      <c r="C448">
        <v>0</v>
      </c>
      <c r="D448">
        <v>2.2000000000000001E-7</v>
      </c>
      <c r="E448">
        <v>0</v>
      </c>
      <c r="F448">
        <v>0</v>
      </c>
      <c r="G448">
        <v>3.9000000000000002E-7</v>
      </c>
      <c r="H448">
        <v>4.9999999999999998E-8</v>
      </c>
      <c r="I448">
        <v>3.9999999999999998E-7</v>
      </c>
      <c r="J448">
        <v>4.9999999999999998E-8</v>
      </c>
    </row>
    <row r="449" spans="1:10" x14ac:dyDescent="0.3">
      <c r="A449">
        <v>430</v>
      </c>
      <c r="B449">
        <v>2145</v>
      </c>
      <c r="C449">
        <v>0</v>
      </c>
      <c r="D449">
        <v>2.8000000000000002E-7</v>
      </c>
      <c r="E449">
        <v>0</v>
      </c>
      <c r="F449">
        <v>0</v>
      </c>
      <c r="G449">
        <v>4.9999999999999998E-7</v>
      </c>
      <c r="H449">
        <v>5.9999999999999995E-8</v>
      </c>
      <c r="I449">
        <v>5.2E-7</v>
      </c>
      <c r="J449">
        <v>5.9999999999999995E-8</v>
      </c>
    </row>
    <row r="450" spans="1:10" x14ac:dyDescent="0.3">
      <c r="A450">
        <v>431</v>
      </c>
      <c r="B450">
        <v>2150</v>
      </c>
      <c r="C450">
        <v>0</v>
      </c>
      <c r="D450">
        <v>2.9999999999999999E-7</v>
      </c>
      <c r="E450">
        <v>0</v>
      </c>
      <c r="F450">
        <v>0</v>
      </c>
      <c r="G450">
        <v>5.4000000000000002E-7</v>
      </c>
      <c r="H450">
        <v>7.0000000000000005E-8</v>
      </c>
      <c r="I450">
        <v>5.5000000000000003E-7</v>
      </c>
      <c r="J450">
        <v>5.9999999999999995E-8</v>
      </c>
    </row>
    <row r="451" spans="1:10" x14ac:dyDescent="0.3">
      <c r="A451">
        <v>432</v>
      </c>
      <c r="B451">
        <v>2155</v>
      </c>
      <c r="C451">
        <v>0</v>
      </c>
      <c r="D451">
        <v>3.1E-7</v>
      </c>
      <c r="E451">
        <v>0</v>
      </c>
      <c r="F451">
        <v>0</v>
      </c>
      <c r="G451">
        <v>5.5000000000000003E-7</v>
      </c>
      <c r="H451">
        <v>5.9999999999999995E-8</v>
      </c>
      <c r="I451">
        <v>5.5000000000000003E-7</v>
      </c>
      <c r="J451">
        <v>7.0000000000000005E-8</v>
      </c>
    </row>
    <row r="452" spans="1:10" x14ac:dyDescent="0.3">
      <c r="A452">
        <v>433</v>
      </c>
      <c r="B452">
        <v>2160</v>
      </c>
      <c r="C452">
        <v>0</v>
      </c>
      <c r="D452">
        <v>4.0999999999999999E-7</v>
      </c>
      <c r="E452">
        <v>0</v>
      </c>
      <c r="F452">
        <v>0</v>
      </c>
      <c r="G452">
        <v>7.3E-7</v>
      </c>
      <c r="H452">
        <v>8.0000000000000002E-8</v>
      </c>
      <c r="I452">
        <v>7.4000000000000001E-7</v>
      </c>
      <c r="J452">
        <v>1.1999999999999999E-7</v>
      </c>
    </row>
    <row r="453" spans="1:10" x14ac:dyDescent="0.3">
      <c r="A453">
        <v>434</v>
      </c>
      <c r="B453">
        <v>2165</v>
      </c>
      <c r="C453">
        <v>0</v>
      </c>
      <c r="D453">
        <v>2.3999999999999998E-7</v>
      </c>
      <c r="E453">
        <v>0</v>
      </c>
      <c r="F453">
        <v>0</v>
      </c>
      <c r="G453">
        <v>4.4000000000000002E-7</v>
      </c>
      <c r="H453">
        <v>4.9999999999999998E-8</v>
      </c>
      <c r="I453">
        <v>4.4000000000000002E-7</v>
      </c>
      <c r="J453">
        <v>4.9999999999999998E-8</v>
      </c>
    </row>
    <row r="454" spans="1:10" x14ac:dyDescent="0.3">
      <c r="A454">
        <v>435</v>
      </c>
      <c r="B454">
        <v>2170</v>
      </c>
      <c r="C454">
        <v>0</v>
      </c>
      <c r="D454">
        <v>1.9000000000000001E-7</v>
      </c>
      <c r="E454">
        <v>0</v>
      </c>
      <c r="F454">
        <v>0</v>
      </c>
      <c r="G454">
        <v>3.3999999999999997E-7</v>
      </c>
      <c r="H454">
        <v>4.0000000000000001E-8</v>
      </c>
      <c r="I454">
        <v>3.3999999999999997E-7</v>
      </c>
      <c r="J454">
        <v>2.9999999999999997E-8</v>
      </c>
    </row>
    <row r="455" spans="1:10" x14ac:dyDescent="0.3">
      <c r="A455">
        <v>436</v>
      </c>
      <c r="B455">
        <v>2175</v>
      </c>
      <c r="C455">
        <v>0</v>
      </c>
      <c r="D455">
        <v>1.6999999999999999E-7</v>
      </c>
      <c r="E455">
        <v>0</v>
      </c>
      <c r="F455">
        <v>0</v>
      </c>
      <c r="G455">
        <v>2.9999999999999999E-7</v>
      </c>
      <c r="H455">
        <v>2.9999999999999997E-8</v>
      </c>
      <c r="I455">
        <v>2.9999999999999999E-7</v>
      </c>
      <c r="J455">
        <v>2E-8</v>
      </c>
    </row>
    <row r="456" spans="1:10" x14ac:dyDescent="0.3">
      <c r="A456">
        <v>437</v>
      </c>
      <c r="B456">
        <v>2180</v>
      </c>
      <c r="C456">
        <v>0</v>
      </c>
      <c r="D456">
        <v>1.3E-7</v>
      </c>
      <c r="E456">
        <v>0</v>
      </c>
      <c r="F456">
        <v>0</v>
      </c>
      <c r="G456">
        <v>2.3999999999999998E-7</v>
      </c>
      <c r="H456">
        <v>2.9999999999999997E-8</v>
      </c>
      <c r="I456">
        <v>2.3999999999999998E-7</v>
      </c>
      <c r="J456">
        <v>2E-8</v>
      </c>
    </row>
    <row r="457" spans="1:10" x14ac:dyDescent="0.3">
      <c r="A457">
        <v>438</v>
      </c>
      <c r="B457">
        <v>2185</v>
      </c>
      <c r="C457">
        <v>0</v>
      </c>
      <c r="D457">
        <v>9.9999999999999995E-8</v>
      </c>
      <c r="E457">
        <v>0</v>
      </c>
      <c r="F457">
        <v>0</v>
      </c>
      <c r="G457">
        <v>1.9000000000000001E-7</v>
      </c>
      <c r="H457">
        <v>2E-8</v>
      </c>
      <c r="I457">
        <v>1.9000000000000001E-7</v>
      </c>
      <c r="J457">
        <v>1E-8</v>
      </c>
    </row>
    <row r="458" spans="1:10" x14ac:dyDescent="0.3">
      <c r="A458">
        <v>439</v>
      </c>
      <c r="B458">
        <v>2190</v>
      </c>
      <c r="C458">
        <v>0</v>
      </c>
      <c r="D458">
        <v>8.9999999999999999E-8</v>
      </c>
      <c r="E458">
        <v>0</v>
      </c>
      <c r="F458">
        <v>0</v>
      </c>
      <c r="G458">
        <v>1.6E-7</v>
      </c>
      <c r="H458">
        <v>2E-8</v>
      </c>
      <c r="I458">
        <v>1.6E-7</v>
      </c>
      <c r="J458">
        <v>1E-8</v>
      </c>
    </row>
    <row r="459" spans="1:10" x14ac:dyDescent="0.3">
      <c r="A459">
        <v>440</v>
      </c>
      <c r="B459">
        <v>2195</v>
      </c>
      <c r="C459">
        <v>0</v>
      </c>
      <c r="D459">
        <v>7.0000000000000005E-8</v>
      </c>
      <c r="E459">
        <v>0</v>
      </c>
      <c r="F459">
        <v>0</v>
      </c>
      <c r="G459">
        <v>1.1999999999999999E-7</v>
      </c>
      <c r="H459">
        <v>1E-8</v>
      </c>
      <c r="I459">
        <v>1.1999999999999999E-7</v>
      </c>
      <c r="J459">
        <v>1E-8</v>
      </c>
    </row>
    <row r="460" spans="1:10" x14ac:dyDescent="0.3">
      <c r="A460">
        <v>441</v>
      </c>
      <c r="B460">
        <v>2200</v>
      </c>
      <c r="C460">
        <v>0</v>
      </c>
      <c r="D460">
        <v>5.9999999999999995E-8</v>
      </c>
      <c r="E460">
        <v>0</v>
      </c>
      <c r="F460">
        <v>0</v>
      </c>
      <c r="G460">
        <v>1.1000000000000001E-7</v>
      </c>
      <c r="H460">
        <v>1E-8</v>
      </c>
      <c r="I460">
        <v>1.1000000000000001E-7</v>
      </c>
      <c r="J460">
        <v>1E-8</v>
      </c>
    </row>
    <row r="461" spans="1:10" x14ac:dyDescent="0.3">
      <c r="A461">
        <v>442</v>
      </c>
      <c r="B461">
        <v>2205</v>
      </c>
      <c r="C461">
        <v>0</v>
      </c>
      <c r="D461">
        <v>4.9999999999999998E-8</v>
      </c>
      <c r="E461">
        <v>0</v>
      </c>
      <c r="F461">
        <v>0</v>
      </c>
      <c r="G461">
        <v>8.9999999999999999E-8</v>
      </c>
      <c r="H461">
        <v>1E-8</v>
      </c>
      <c r="I461">
        <v>8.9999999999999999E-8</v>
      </c>
      <c r="J461">
        <v>1E-8</v>
      </c>
    </row>
    <row r="462" spans="1:10" x14ac:dyDescent="0.3">
      <c r="A462">
        <v>443</v>
      </c>
      <c r="B462">
        <v>2210</v>
      </c>
      <c r="C462">
        <v>0</v>
      </c>
      <c r="D462">
        <v>4.0000000000000001E-8</v>
      </c>
      <c r="E462">
        <v>0</v>
      </c>
      <c r="F462">
        <v>0</v>
      </c>
      <c r="G462">
        <v>7.0000000000000005E-8</v>
      </c>
      <c r="H462">
        <v>1E-8</v>
      </c>
      <c r="I462">
        <v>7.0000000000000005E-8</v>
      </c>
      <c r="J462">
        <v>1E-8</v>
      </c>
    </row>
    <row r="463" spans="1:10" x14ac:dyDescent="0.3">
      <c r="A463">
        <v>444</v>
      </c>
      <c r="B463">
        <v>2215</v>
      </c>
      <c r="C463">
        <v>0</v>
      </c>
      <c r="D463">
        <v>4.0000000000000001E-8</v>
      </c>
      <c r="E463">
        <v>0</v>
      </c>
      <c r="F463">
        <v>0</v>
      </c>
      <c r="G463">
        <v>7.0000000000000005E-8</v>
      </c>
      <c r="H463">
        <v>1E-8</v>
      </c>
      <c r="I463">
        <v>7.0000000000000005E-8</v>
      </c>
      <c r="J463">
        <v>1E-8</v>
      </c>
    </row>
    <row r="464" spans="1:10" x14ac:dyDescent="0.3">
      <c r="A464">
        <v>445</v>
      </c>
      <c r="B464">
        <v>2220</v>
      </c>
      <c r="C464">
        <v>0</v>
      </c>
      <c r="D464">
        <v>4.9999999999999998E-8</v>
      </c>
      <c r="E464">
        <v>0</v>
      </c>
      <c r="F464">
        <v>0</v>
      </c>
      <c r="G464">
        <v>8.0000000000000002E-8</v>
      </c>
      <c r="H464">
        <v>1E-8</v>
      </c>
      <c r="I464">
        <v>8.0000000000000002E-8</v>
      </c>
      <c r="J464">
        <v>1E-8</v>
      </c>
    </row>
    <row r="465" spans="1:10" x14ac:dyDescent="0.3">
      <c r="A465">
        <v>446</v>
      </c>
      <c r="B465">
        <v>2225</v>
      </c>
      <c r="C465">
        <v>0</v>
      </c>
      <c r="D465">
        <v>2.9999999999999997E-8</v>
      </c>
      <c r="E465">
        <v>0</v>
      </c>
      <c r="F465">
        <v>0</v>
      </c>
      <c r="G465">
        <v>5.9999999999999995E-8</v>
      </c>
      <c r="H465">
        <v>1E-8</v>
      </c>
      <c r="I465">
        <v>5.9999999999999995E-8</v>
      </c>
      <c r="J465">
        <v>1E-8</v>
      </c>
    </row>
    <row r="466" spans="1:10" x14ac:dyDescent="0.3">
      <c r="A466">
        <v>447</v>
      </c>
      <c r="B466">
        <v>2230</v>
      </c>
      <c r="C466">
        <v>0</v>
      </c>
      <c r="D466">
        <v>2E-8</v>
      </c>
      <c r="E466">
        <v>0</v>
      </c>
      <c r="F466">
        <v>0</v>
      </c>
      <c r="G466">
        <v>4.0000000000000001E-8</v>
      </c>
      <c r="H466">
        <v>0</v>
      </c>
      <c r="I466">
        <v>4.0000000000000001E-8</v>
      </c>
      <c r="J466">
        <v>0</v>
      </c>
    </row>
    <row r="467" spans="1:10" x14ac:dyDescent="0.3">
      <c r="A467">
        <v>448</v>
      </c>
      <c r="B467">
        <v>2235</v>
      </c>
      <c r="C467">
        <v>0</v>
      </c>
      <c r="D467">
        <v>2E-8</v>
      </c>
      <c r="E467">
        <v>0</v>
      </c>
      <c r="F467">
        <v>0</v>
      </c>
      <c r="G467">
        <v>4.0000000000000001E-8</v>
      </c>
      <c r="H467">
        <v>0</v>
      </c>
      <c r="I467">
        <v>4.0000000000000001E-8</v>
      </c>
      <c r="J467">
        <v>0</v>
      </c>
    </row>
    <row r="468" spans="1:10" x14ac:dyDescent="0.3">
      <c r="A468">
        <v>449</v>
      </c>
      <c r="B468">
        <v>2240</v>
      </c>
      <c r="C468">
        <v>0</v>
      </c>
      <c r="D468">
        <v>2E-8</v>
      </c>
      <c r="E468">
        <v>0</v>
      </c>
      <c r="F468">
        <v>0</v>
      </c>
      <c r="G468">
        <v>4.0000000000000001E-8</v>
      </c>
      <c r="H468">
        <v>0</v>
      </c>
      <c r="I468">
        <v>4.0000000000000001E-8</v>
      </c>
      <c r="J468">
        <v>0</v>
      </c>
    </row>
    <row r="469" spans="1:10" x14ac:dyDescent="0.3">
      <c r="A469">
        <v>450</v>
      </c>
      <c r="B469">
        <v>2245</v>
      </c>
      <c r="C469">
        <v>0</v>
      </c>
      <c r="D469">
        <v>2E-8</v>
      </c>
      <c r="E469">
        <v>0</v>
      </c>
      <c r="F469">
        <v>0</v>
      </c>
      <c r="G469">
        <v>2.9999999999999997E-8</v>
      </c>
      <c r="H469">
        <v>0</v>
      </c>
      <c r="I469">
        <v>2.9999999999999997E-8</v>
      </c>
      <c r="J469">
        <v>0</v>
      </c>
    </row>
    <row r="470" spans="1:10" x14ac:dyDescent="0.3">
      <c r="A470">
        <v>451</v>
      </c>
      <c r="B470">
        <v>2250</v>
      </c>
      <c r="C470">
        <v>0</v>
      </c>
      <c r="D470">
        <v>1E-8</v>
      </c>
      <c r="E470">
        <v>0</v>
      </c>
      <c r="F470">
        <v>0</v>
      </c>
      <c r="G470">
        <v>2.9999999999999997E-8</v>
      </c>
      <c r="H470">
        <v>0</v>
      </c>
      <c r="I470">
        <v>2.9999999999999997E-8</v>
      </c>
      <c r="J470">
        <v>0</v>
      </c>
    </row>
    <row r="471" spans="1:10" x14ac:dyDescent="0.3">
      <c r="A471">
        <v>452</v>
      </c>
      <c r="B471">
        <v>2255</v>
      </c>
      <c r="C471">
        <v>0</v>
      </c>
      <c r="D471">
        <v>1E-8</v>
      </c>
      <c r="E471">
        <v>0</v>
      </c>
      <c r="F471">
        <v>0</v>
      </c>
      <c r="G471">
        <v>2E-8</v>
      </c>
      <c r="H471">
        <v>0</v>
      </c>
      <c r="I471">
        <v>2E-8</v>
      </c>
      <c r="J471">
        <v>0</v>
      </c>
    </row>
    <row r="472" spans="1:10" x14ac:dyDescent="0.3">
      <c r="A472">
        <v>453</v>
      </c>
      <c r="B472">
        <v>2260</v>
      </c>
      <c r="C472">
        <v>0</v>
      </c>
      <c r="D472">
        <v>1E-8</v>
      </c>
      <c r="E472">
        <v>0</v>
      </c>
      <c r="F472">
        <v>0</v>
      </c>
      <c r="G472">
        <v>2E-8</v>
      </c>
      <c r="H472">
        <v>0</v>
      </c>
      <c r="I472">
        <v>2E-8</v>
      </c>
      <c r="J472">
        <v>0</v>
      </c>
    </row>
    <row r="473" spans="1:10" x14ac:dyDescent="0.3">
      <c r="A473">
        <v>454</v>
      </c>
      <c r="B473">
        <v>2265</v>
      </c>
      <c r="C473">
        <v>0</v>
      </c>
      <c r="D473">
        <v>1E-8</v>
      </c>
      <c r="E473">
        <v>0</v>
      </c>
      <c r="F473">
        <v>0</v>
      </c>
      <c r="G473">
        <v>2E-8</v>
      </c>
      <c r="H473">
        <v>0</v>
      </c>
      <c r="I473">
        <v>2E-8</v>
      </c>
      <c r="J473">
        <v>0</v>
      </c>
    </row>
    <row r="474" spans="1:10" x14ac:dyDescent="0.3">
      <c r="A474">
        <v>455</v>
      </c>
      <c r="B474">
        <v>2270</v>
      </c>
      <c r="C474">
        <v>0</v>
      </c>
      <c r="D474">
        <v>1E-8</v>
      </c>
      <c r="E474">
        <v>0</v>
      </c>
      <c r="F474">
        <v>0</v>
      </c>
      <c r="G474">
        <v>2E-8</v>
      </c>
      <c r="H474">
        <v>0</v>
      </c>
      <c r="I474">
        <v>2E-8</v>
      </c>
      <c r="J474">
        <v>0</v>
      </c>
    </row>
    <row r="475" spans="1:10" x14ac:dyDescent="0.3">
      <c r="A475">
        <v>456</v>
      </c>
      <c r="B475">
        <v>2275</v>
      </c>
      <c r="C475">
        <v>0</v>
      </c>
      <c r="D475">
        <v>1E-8</v>
      </c>
      <c r="E475">
        <v>0</v>
      </c>
      <c r="F475">
        <v>0</v>
      </c>
      <c r="G475">
        <v>2E-8</v>
      </c>
      <c r="H475">
        <v>0</v>
      </c>
      <c r="I475">
        <v>2E-8</v>
      </c>
      <c r="J475">
        <v>1E-8</v>
      </c>
    </row>
    <row r="476" spans="1:10" x14ac:dyDescent="0.3">
      <c r="A476">
        <v>457</v>
      </c>
      <c r="B476">
        <v>2280</v>
      </c>
      <c r="C476">
        <v>0</v>
      </c>
      <c r="D476">
        <v>1E-8</v>
      </c>
      <c r="E476">
        <v>0</v>
      </c>
      <c r="F476">
        <v>0</v>
      </c>
      <c r="G476">
        <v>2E-8</v>
      </c>
      <c r="H476">
        <v>0</v>
      </c>
      <c r="I476">
        <v>2E-8</v>
      </c>
      <c r="J476">
        <v>2E-8</v>
      </c>
    </row>
    <row r="477" spans="1:10" x14ac:dyDescent="0.3">
      <c r="A477">
        <v>458</v>
      </c>
      <c r="B477">
        <v>2285</v>
      </c>
      <c r="C477">
        <v>0</v>
      </c>
      <c r="D477">
        <v>1E-8</v>
      </c>
      <c r="E477">
        <v>0</v>
      </c>
      <c r="F477">
        <v>0</v>
      </c>
      <c r="G477">
        <v>2E-8</v>
      </c>
      <c r="H477">
        <v>0</v>
      </c>
      <c r="I477">
        <v>2E-8</v>
      </c>
      <c r="J477">
        <v>1E-8</v>
      </c>
    </row>
    <row r="478" spans="1:10" x14ac:dyDescent="0.3">
      <c r="A478">
        <v>459</v>
      </c>
      <c r="B478">
        <v>2290</v>
      </c>
      <c r="C478">
        <v>0</v>
      </c>
      <c r="D478">
        <v>1E-8</v>
      </c>
      <c r="E478">
        <v>0</v>
      </c>
      <c r="F478">
        <v>0</v>
      </c>
      <c r="G478">
        <v>1E-8</v>
      </c>
      <c r="H478">
        <v>0</v>
      </c>
      <c r="I478">
        <v>1E-8</v>
      </c>
      <c r="J478">
        <v>0</v>
      </c>
    </row>
    <row r="479" spans="1:10" x14ac:dyDescent="0.3">
      <c r="A479">
        <v>460</v>
      </c>
      <c r="B479">
        <v>2295</v>
      </c>
      <c r="C479">
        <v>0</v>
      </c>
      <c r="D479">
        <v>1E-8</v>
      </c>
      <c r="E479">
        <v>0</v>
      </c>
      <c r="F479">
        <v>0</v>
      </c>
      <c r="G479">
        <v>1E-8</v>
      </c>
      <c r="H479">
        <v>0</v>
      </c>
      <c r="I479">
        <v>1E-8</v>
      </c>
      <c r="J479">
        <v>0</v>
      </c>
    </row>
    <row r="480" spans="1:10" x14ac:dyDescent="0.3">
      <c r="A480">
        <v>461</v>
      </c>
      <c r="B480">
        <v>2300</v>
      </c>
      <c r="C480">
        <v>0</v>
      </c>
      <c r="D480">
        <v>1E-8</v>
      </c>
      <c r="E480">
        <v>0</v>
      </c>
      <c r="F480">
        <v>0</v>
      </c>
      <c r="G480">
        <v>1E-8</v>
      </c>
      <c r="H480">
        <v>0</v>
      </c>
      <c r="I480">
        <v>1E-8</v>
      </c>
      <c r="J480">
        <v>0</v>
      </c>
    </row>
    <row r="481" spans="1:10" x14ac:dyDescent="0.3">
      <c r="A481">
        <v>462</v>
      </c>
      <c r="B481">
        <v>2305</v>
      </c>
      <c r="C481">
        <v>0</v>
      </c>
      <c r="D481">
        <v>1E-8</v>
      </c>
      <c r="E481">
        <v>0</v>
      </c>
      <c r="F481">
        <v>0</v>
      </c>
      <c r="G481">
        <v>1E-8</v>
      </c>
      <c r="H481">
        <v>0</v>
      </c>
      <c r="I481">
        <v>1E-8</v>
      </c>
      <c r="J481">
        <v>0</v>
      </c>
    </row>
    <row r="482" spans="1:10" x14ac:dyDescent="0.3">
      <c r="A482">
        <v>463</v>
      </c>
      <c r="B482">
        <v>2310</v>
      </c>
      <c r="C482">
        <v>0</v>
      </c>
      <c r="D482">
        <v>1E-8</v>
      </c>
      <c r="E482">
        <v>0</v>
      </c>
      <c r="F482">
        <v>0</v>
      </c>
      <c r="G482">
        <v>1E-8</v>
      </c>
      <c r="H482">
        <v>0</v>
      </c>
      <c r="I482">
        <v>1E-8</v>
      </c>
      <c r="J482">
        <v>0</v>
      </c>
    </row>
    <row r="483" spans="1:10" x14ac:dyDescent="0.3">
      <c r="A483">
        <v>464</v>
      </c>
      <c r="B483">
        <v>2315</v>
      </c>
      <c r="C483">
        <v>0</v>
      </c>
      <c r="D483">
        <v>1E-8</v>
      </c>
      <c r="E483">
        <v>0</v>
      </c>
      <c r="F483">
        <v>0</v>
      </c>
      <c r="G483">
        <v>1E-8</v>
      </c>
      <c r="H483">
        <v>0</v>
      </c>
      <c r="I483">
        <v>1E-8</v>
      </c>
      <c r="J483">
        <v>0</v>
      </c>
    </row>
    <row r="484" spans="1:10" x14ac:dyDescent="0.3">
      <c r="A484">
        <v>465</v>
      </c>
      <c r="B484">
        <v>2320</v>
      </c>
      <c r="C484">
        <v>0</v>
      </c>
      <c r="D484">
        <v>1E-8</v>
      </c>
      <c r="E484">
        <v>0</v>
      </c>
      <c r="F484">
        <v>0</v>
      </c>
      <c r="G484">
        <v>1E-8</v>
      </c>
      <c r="H484">
        <v>0</v>
      </c>
      <c r="I484">
        <v>1E-8</v>
      </c>
      <c r="J484">
        <v>0</v>
      </c>
    </row>
    <row r="485" spans="1:10" x14ac:dyDescent="0.3">
      <c r="A485">
        <v>466</v>
      </c>
      <c r="B485">
        <v>2325</v>
      </c>
      <c r="C485">
        <v>0</v>
      </c>
      <c r="D485">
        <v>0</v>
      </c>
      <c r="E485">
        <v>0</v>
      </c>
      <c r="F485">
        <v>0</v>
      </c>
      <c r="G485">
        <v>1E-8</v>
      </c>
      <c r="H485">
        <v>0</v>
      </c>
      <c r="I485">
        <v>1E-8</v>
      </c>
      <c r="J485">
        <v>0</v>
      </c>
    </row>
    <row r="486" spans="1:10" x14ac:dyDescent="0.3">
      <c r="A486">
        <v>467</v>
      </c>
      <c r="B486">
        <v>2330</v>
      </c>
      <c r="C486">
        <v>0</v>
      </c>
      <c r="D486">
        <v>0</v>
      </c>
      <c r="E486">
        <v>0</v>
      </c>
      <c r="F486">
        <v>0</v>
      </c>
      <c r="G486">
        <v>1E-8</v>
      </c>
      <c r="H486">
        <v>0</v>
      </c>
      <c r="I486">
        <v>1E-8</v>
      </c>
      <c r="J486">
        <v>0</v>
      </c>
    </row>
    <row r="487" spans="1:10" x14ac:dyDescent="0.3">
      <c r="A487">
        <v>468</v>
      </c>
      <c r="B487">
        <v>2335</v>
      </c>
      <c r="C487">
        <v>0</v>
      </c>
      <c r="D487">
        <v>1E-8</v>
      </c>
      <c r="E487">
        <v>0</v>
      </c>
      <c r="F487">
        <v>0</v>
      </c>
      <c r="G487">
        <v>1E-8</v>
      </c>
      <c r="H487">
        <v>0</v>
      </c>
      <c r="I487">
        <v>1E-8</v>
      </c>
      <c r="J487">
        <v>1E-8</v>
      </c>
    </row>
    <row r="488" spans="1:10" x14ac:dyDescent="0.3">
      <c r="A488">
        <v>469</v>
      </c>
      <c r="B488">
        <v>2340</v>
      </c>
      <c r="C488">
        <v>0</v>
      </c>
      <c r="D488">
        <v>1E-8</v>
      </c>
      <c r="E488">
        <v>0</v>
      </c>
      <c r="F488">
        <v>0</v>
      </c>
      <c r="G488">
        <v>1E-8</v>
      </c>
      <c r="H488">
        <v>0</v>
      </c>
      <c r="I488">
        <v>1E-8</v>
      </c>
      <c r="J488">
        <v>1E-8</v>
      </c>
    </row>
    <row r="489" spans="1:10" x14ac:dyDescent="0.3">
      <c r="A489">
        <v>470</v>
      </c>
      <c r="B489">
        <v>2345</v>
      </c>
      <c r="C489">
        <v>0</v>
      </c>
      <c r="D489">
        <v>0</v>
      </c>
      <c r="E489">
        <v>0</v>
      </c>
      <c r="F489">
        <v>0</v>
      </c>
      <c r="G489">
        <v>1E-8</v>
      </c>
      <c r="H489">
        <v>0</v>
      </c>
      <c r="I489">
        <v>1E-8</v>
      </c>
      <c r="J489">
        <v>0</v>
      </c>
    </row>
    <row r="490" spans="1:10" x14ac:dyDescent="0.3">
      <c r="A490">
        <v>471</v>
      </c>
      <c r="B490">
        <v>2350</v>
      </c>
      <c r="C490">
        <v>0</v>
      </c>
      <c r="D490">
        <v>0</v>
      </c>
      <c r="E490">
        <v>0</v>
      </c>
      <c r="F490">
        <v>0</v>
      </c>
      <c r="G490">
        <v>1E-8</v>
      </c>
      <c r="H490">
        <v>0</v>
      </c>
      <c r="I490">
        <v>1E-8</v>
      </c>
      <c r="J490">
        <v>0</v>
      </c>
    </row>
    <row r="491" spans="1:10" x14ac:dyDescent="0.3">
      <c r="A491">
        <v>472</v>
      </c>
      <c r="B491">
        <v>2355</v>
      </c>
      <c r="C491">
        <v>0</v>
      </c>
      <c r="D491">
        <v>0</v>
      </c>
      <c r="E491">
        <v>0</v>
      </c>
      <c r="F491">
        <v>0</v>
      </c>
      <c r="G491">
        <v>1E-8</v>
      </c>
      <c r="H491">
        <v>0</v>
      </c>
      <c r="I491">
        <v>1E-8</v>
      </c>
      <c r="J491">
        <v>0</v>
      </c>
    </row>
    <row r="492" spans="1:10" x14ac:dyDescent="0.3">
      <c r="A492">
        <v>473</v>
      </c>
      <c r="B492">
        <v>2360</v>
      </c>
      <c r="C492">
        <v>0</v>
      </c>
      <c r="D492">
        <v>0</v>
      </c>
      <c r="E492">
        <v>0</v>
      </c>
      <c r="F492">
        <v>0</v>
      </c>
      <c r="G492">
        <v>1E-8</v>
      </c>
      <c r="H492">
        <v>0</v>
      </c>
      <c r="I492">
        <v>1E-8</v>
      </c>
      <c r="J492">
        <v>0</v>
      </c>
    </row>
    <row r="493" spans="1:10" x14ac:dyDescent="0.3">
      <c r="A493">
        <v>474</v>
      </c>
      <c r="B493">
        <v>2365</v>
      </c>
      <c r="C493">
        <v>0</v>
      </c>
      <c r="D493">
        <v>0</v>
      </c>
      <c r="E493">
        <v>0</v>
      </c>
      <c r="F493">
        <v>0</v>
      </c>
      <c r="G493">
        <v>1E-8</v>
      </c>
      <c r="H493">
        <v>0</v>
      </c>
      <c r="I493">
        <v>1E-8</v>
      </c>
      <c r="J493">
        <v>0</v>
      </c>
    </row>
    <row r="494" spans="1:10" x14ac:dyDescent="0.3">
      <c r="A494">
        <v>475</v>
      </c>
      <c r="B494">
        <v>2370</v>
      </c>
      <c r="C494">
        <v>0</v>
      </c>
      <c r="D494">
        <v>0</v>
      </c>
      <c r="E494">
        <v>0</v>
      </c>
      <c r="F494">
        <v>0</v>
      </c>
      <c r="G494">
        <v>1E-8</v>
      </c>
      <c r="H494">
        <v>0</v>
      </c>
      <c r="I494">
        <v>1E-8</v>
      </c>
      <c r="J494">
        <v>0</v>
      </c>
    </row>
    <row r="495" spans="1:10" x14ac:dyDescent="0.3">
      <c r="A495">
        <v>476</v>
      </c>
      <c r="B495">
        <v>2375</v>
      </c>
      <c r="C495">
        <v>0</v>
      </c>
      <c r="D495">
        <v>0</v>
      </c>
      <c r="E495">
        <v>0</v>
      </c>
      <c r="F495">
        <v>0</v>
      </c>
      <c r="G495">
        <v>1E-8</v>
      </c>
      <c r="H495">
        <v>0</v>
      </c>
      <c r="I495">
        <v>1E-8</v>
      </c>
      <c r="J495">
        <v>0</v>
      </c>
    </row>
    <row r="496" spans="1:10" x14ac:dyDescent="0.3">
      <c r="A496">
        <v>477</v>
      </c>
      <c r="B496">
        <v>2380</v>
      </c>
      <c r="C496">
        <v>0</v>
      </c>
      <c r="D496">
        <v>0</v>
      </c>
      <c r="E496">
        <v>0</v>
      </c>
      <c r="F496">
        <v>0</v>
      </c>
      <c r="G496">
        <v>0</v>
      </c>
      <c r="H496">
        <v>0</v>
      </c>
      <c r="I496">
        <v>1E-8</v>
      </c>
      <c r="J496">
        <v>0</v>
      </c>
    </row>
    <row r="497" spans="1:10" x14ac:dyDescent="0.3">
      <c r="A497">
        <v>478</v>
      </c>
      <c r="B497">
        <v>2385</v>
      </c>
      <c r="C497">
        <v>0</v>
      </c>
      <c r="D497">
        <v>0</v>
      </c>
      <c r="E497">
        <v>0</v>
      </c>
      <c r="F497">
        <v>0</v>
      </c>
      <c r="G497">
        <v>1E-8</v>
      </c>
      <c r="H497">
        <v>0</v>
      </c>
      <c r="I497">
        <v>1E-8</v>
      </c>
      <c r="J497">
        <v>0</v>
      </c>
    </row>
    <row r="498" spans="1:10" x14ac:dyDescent="0.3">
      <c r="A498">
        <v>479</v>
      </c>
      <c r="B498">
        <v>2390</v>
      </c>
      <c r="C498">
        <v>0</v>
      </c>
      <c r="D498">
        <v>0</v>
      </c>
      <c r="E498">
        <v>0</v>
      </c>
      <c r="F498">
        <v>0</v>
      </c>
      <c r="G498">
        <v>0</v>
      </c>
      <c r="H498">
        <v>0</v>
      </c>
      <c r="I498">
        <v>1E-8</v>
      </c>
      <c r="J498">
        <v>0</v>
      </c>
    </row>
    <row r="499" spans="1:10" x14ac:dyDescent="0.3">
      <c r="A499">
        <v>480</v>
      </c>
      <c r="B499">
        <v>2395</v>
      </c>
      <c r="C499">
        <v>0</v>
      </c>
      <c r="D499">
        <v>0</v>
      </c>
      <c r="E499">
        <v>0</v>
      </c>
      <c r="F499">
        <v>0</v>
      </c>
      <c r="G499">
        <v>0</v>
      </c>
      <c r="H499">
        <v>0</v>
      </c>
      <c r="I499">
        <v>1E-8</v>
      </c>
      <c r="J499">
        <v>1E-8</v>
      </c>
    </row>
    <row r="500" spans="1:10" x14ac:dyDescent="0.3">
      <c r="A500">
        <v>481</v>
      </c>
      <c r="B500">
        <v>2400</v>
      </c>
      <c r="C500">
        <v>0</v>
      </c>
      <c r="D500">
        <v>0</v>
      </c>
      <c r="E500">
        <v>0</v>
      </c>
      <c r="F500">
        <v>0</v>
      </c>
      <c r="G500">
        <v>1E-8</v>
      </c>
      <c r="H500">
        <v>0</v>
      </c>
      <c r="I500">
        <v>1E-8</v>
      </c>
      <c r="J500">
        <v>2E-8</v>
      </c>
    </row>
    <row r="501" spans="1:10" x14ac:dyDescent="0.3">
      <c r="A501">
        <v>482</v>
      </c>
      <c r="B501">
        <v>2405</v>
      </c>
      <c r="C501">
        <v>0</v>
      </c>
      <c r="D501">
        <v>0</v>
      </c>
      <c r="E501">
        <v>0</v>
      </c>
      <c r="F501">
        <v>0</v>
      </c>
      <c r="G501">
        <v>0</v>
      </c>
      <c r="H501">
        <v>0</v>
      </c>
      <c r="I501">
        <v>0</v>
      </c>
      <c r="J501">
        <v>1E-8</v>
      </c>
    </row>
    <row r="502" spans="1:10" x14ac:dyDescent="0.3">
      <c r="A502">
        <v>483</v>
      </c>
      <c r="B502">
        <v>2410</v>
      </c>
      <c r="C502">
        <v>0</v>
      </c>
      <c r="D502">
        <v>0</v>
      </c>
      <c r="E502">
        <v>0</v>
      </c>
      <c r="F502">
        <v>0</v>
      </c>
      <c r="G502">
        <v>0</v>
      </c>
      <c r="H502">
        <v>0</v>
      </c>
      <c r="I502">
        <v>0</v>
      </c>
      <c r="J502">
        <v>0</v>
      </c>
    </row>
    <row r="503" spans="1:10" x14ac:dyDescent="0.3">
      <c r="A503">
        <v>484</v>
      </c>
      <c r="B503">
        <v>2415</v>
      </c>
      <c r="C503">
        <v>0</v>
      </c>
      <c r="D503">
        <v>0</v>
      </c>
      <c r="E503">
        <v>0</v>
      </c>
      <c r="F503">
        <v>0</v>
      </c>
      <c r="G503">
        <v>0</v>
      </c>
      <c r="H503">
        <v>0</v>
      </c>
      <c r="I503">
        <v>0</v>
      </c>
      <c r="J503">
        <v>0</v>
      </c>
    </row>
    <row r="504" spans="1:10" x14ac:dyDescent="0.3">
      <c r="A504">
        <v>485</v>
      </c>
      <c r="B504">
        <v>2420</v>
      </c>
      <c r="C504">
        <v>0</v>
      </c>
      <c r="D504">
        <v>0</v>
      </c>
      <c r="E504">
        <v>0</v>
      </c>
      <c r="F504">
        <v>0</v>
      </c>
      <c r="G504">
        <v>0</v>
      </c>
      <c r="H504">
        <v>0</v>
      </c>
      <c r="I504">
        <v>1E-8</v>
      </c>
      <c r="J504">
        <v>0</v>
      </c>
    </row>
    <row r="505" spans="1:10" x14ac:dyDescent="0.3">
      <c r="A505">
        <v>486</v>
      </c>
      <c r="B505">
        <v>2425</v>
      </c>
      <c r="C505">
        <v>0</v>
      </c>
      <c r="D505">
        <v>0</v>
      </c>
      <c r="E505">
        <v>0</v>
      </c>
      <c r="F505">
        <v>0</v>
      </c>
      <c r="G505">
        <v>0</v>
      </c>
      <c r="H505">
        <v>0</v>
      </c>
      <c r="I505">
        <v>0</v>
      </c>
      <c r="J505">
        <v>0</v>
      </c>
    </row>
    <row r="506" spans="1:10" x14ac:dyDescent="0.3">
      <c r="A506">
        <v>487</v>
      </c>
      <c r="B506">
        <v>2430</v>
      </c>
      <c r="C506">
        <v>0</v>
      </c>
      <c r="D506">
        <v>0</v>
      </c>
      <c r="E506">
        <v>0</v>
      </c>
      <c r="F506">
        <v>0</v>
      </c>
      <c r="G506">
        <v>0</v>
      </c>
      <c r="H506">
        <v>0</v>
      </c>
      <c r="I506">
        <v>0</v>
      </c>
      <c r="J506">
        <v>0</v>
      </c>
    </row>
    <row r="507" spans="1:10" x14ac:dyDescent="0.3">
      <c r="A507">
        <v>488</v>
      </c>
      <c r="B507">
        <v>2435</v>
      </c>
      <c r="C507">
        <v>0</v>
      </c>
      <c r="D507">
        <v>0</v>
      </c>
      <c r="E507">
        <v>0</v>
      </c>
      <c r="F507">
        <v>0</v>
      </c>
      <c r="G507">
        <v>0</v>
      </c>
      <c r="H507">
        <v>0</v>
      </c>
      <c r="I507">
        <v>0</v>
      </c>
      <c r="J507">
        <v>0</v>
      </c>
    </row>
    <row r="508" spans="1:10" x14ac:dyDescent="0.3">
      <c r="A508">
        <v>489</v>
      </c>
      <c r="B508">
        <v>2440</v>
      </c>
      <c r="C508">
        <v>0</v>
      </c>
      <c r="D508">
        <v>0</v>
      </c>
      <c r="E508">
        <v>0</v>
      </c>
      <c r="F508">
        <v>0</v>
      </c>
      <c r="G508">
        <v>0</v>
      </c>
      <c r="H508">
        <v>0</v>
      </c>
      <c r="I508">
        <v>0</v>
      </c>
      <c r="J508">
        <v>0</v>
      </c>
    </row>
    <row r="509" spans="1:10" x14ac:dyDescent="0.3">
      <c r="A509">
        <v>490</v>
      </c>
      <c r="B509">
        <v>2445</v>
      </c>
      <c r="C509">
        <v>0</v>
      </c>
      <c r="D509">
        <v>0</v>
      </c>
      <c r="E509">
        <v>0</v>
      </c>
      <c r="F509">
        <v>0</v>
      </c>
      <c r="G509">
        <v>0</v>
      </c>
      <c r="H509">
        <v>0</v>
      </c>
      <c r="I509">
        <v>0</v>
      </c>
      <c r="J509">
        <v>0</v>
      </c>
    </row>
    <row r="510" spans="1:10" x14ac:dyDescent="0.3">
      <c r="A510">
        <v>491</v>
      </c>
      <c r="B510">
        <v>2450</v>
      </c>
      <c r="C510">
        <v>0</v>
      </c>
      <c r="D510">
        <v>0</v>
      </c>
      <c r="E510">
        <v>0</v>
      </c>
      <c r="F510">
        <v>0</v>
      </c>
      <c r="G510">
        <v>0</v>
      </c>
      <c r="H510">
        <v>0</v>
      </c>
      <c r="I510">
        <v>0</v>
      </c>
      <c r="J510">
        <v>0</v>
      </c>
    </row>
    <row r="511" spans="1:10" x14ac:dyDescent="0.3">
      <c r="A511">
        <v>492</v>
      </c>
      <c r="B511">
        <v>2455</v>
      </c>
      <c r="C511">
        <v>0</v>
      </c>
      <c r="D511">
        <v>0</v>
      </c>
      <c r="E511">
        <v>0</v>
      </c>
      <c r="F511">
        <v>0</v>
      </c>
      <c r="G511">
        <v>0</v>
      </c>
      <c r="H511">
        <v>0</v>
      </c>
      <c r="I511">
        <v>0</v>
      </c>
      <c r="J511">
        <v>0</v>
      </c>
    </row>
    <row r="512" spans="1:10" x14ac:dyDescent="0.3">
      <c r="A512">
        <v>493</v>
      </c>
      <c r="B512">
        <v>2460</v>
      </c>
      <c r="C512">
        <v>0</v>
      </c>
      <c r="D512">
        <v>0</v>
      </c>
      <c r="E512">
        <v>0</v>
      </c>
      <c r="F512">
        <v>0</v>
      </c>
      <c r="G512">
        <v>1E-8</v>
      </c>
      <c r="H512">
        <v>0</v>
      </c>
      <c r="I512">
        <v>1E-8</v>
      </c>
      <c r="J512">
        <v>1E-8</v>
      </c>
    </row>
    <row r="513" spans="1:10" x14ac:dyDescent="0.3">
      <c r="A513">
        <v>494</v>
      </c>
      <c r="B513">
        <v>2465</v>
      </c>
      <c r="C513">
        <v>0</v>
      </c>
      <c r="D513">
        <v>0</v>
      </c>
      <c r="E513">
        <v>0</v>
      </c>
      <c r="F513">
        <v>0</v>
      </c>
      <c r="G513">
        <v>0</v>
      </c>
      <c r="H513">
        <v>0</v>
      </c>
      <c r="I513">
        <v>0</v>
      </c>
      <c r="J513">
        <v>0</v>
      </c>
    </row>
    <row r="514" spans="1:10" x14ac:dyDescent="0.3">
      <c r="A514">
        <v>495</v>
      </c>
      <c r="B514">
        <v>2470</v>
      </c>
      <c r="C514">
        <v>0</v>
      </c>
      <c r="D514">
        <v>0</v>
      </c>
      <c r="E514">
        <v>0</v>
      </c>
      <c r="F514">
        <v>0</v>
      </c>
      <c r="G514">
        <v>0</v>
      </c>
      <c r="H514">
        <v>0</v>
      </c>
      <c r="I514">
        <v>0</v>
      </c>
      <c r="J514">
        <v>0</v>
      </c>
    </row>
    <row r="515" spans="1:10" x14ac:dyDescent="0.3">
      <c r="A515">
        <v>496</v>
      </c>
      <c r="B515">
        <v>2475</v>
      </c>
      <c r="C515">
        <v>0</v>
      </c>
      <c r="D515">
        <v>0</v>
      </c>
      <c r="E515">
        <v>0</v>
      </c>
      <c r="F515">
        <v>0</v>
      </c>
      <c r="G515">
        <v>0</v>
      </c>
      <c r="H515">
        <v>0</v>
      </c>
      <c r="I515">
        <v>0</v>
      </c>
      <c r="J515">
        <v>0</v>
      </c>
    </row>
    <row r="516" spans="1:10" x14ac:dyDescent="0.3">
      <c r="A516">
        <v>497</v>
      </c>
      <c r="B516">
        <v>2480</v>
      </c>
      <c r="C516">
        <v>0</v>
      </c>
      <c r="D516">
        <v>0</v>
      </c>
      <c r="E516">
        <v>0</v>
      </c>
      <c r="F516">
        <v>0</v>
      </c>
      <c r="G516">
        <v>0</v>
      </c>
      <c r="H516">
        <v>0</v>
      </c>
      <c r="I516">
        <v>0</v>
      </c>
      <c r="J516">
        <v>0</v>
      </c>
    </row>
    <row r="517" spans="1:10" x14ac:dyDescent="0.3">
      <c r="A517">
        <v>498</v>
      </c>
      <c r="B517">
        <v>2485</v>
      </c>
      <c r="C517">
        <v>0</v>
      </c>
      <c r="D517">
        <v>0</v>
      </c>
      <c r="E517">
        <v>0</v>
      </c>
      <c r="F517">
        <v>0</v>
      </c>
      <c r="G517">
        <v>0</v>
      </c>
      <c r="H517">
        <v>0</v>
      </c>
      <c r="I517">
        <v>0</v>
      </c>
      <c r="J517">
        <v>0</v>
      </c>
    </row>
    <row r="518" spans="1:10" x14ac:dyDescent="0.3">
      <c r="A518">
        <v>499</v>
      </c>
      <c r="B518">
        <v>2490</v>
      </c>
      <c r="C518">
        <v>0</v>
      </c>
      <c r="D518">
        <v>0</v>
      </c>
      <c r="E518">
        <v>0</v>
      </c>
      <c r="F518">
        <v>0</v>
      </c>
      <c r="G518">
        <v>0</v>
      </c>
      <c r="H518">
        <v>0</v>
      </c>
      <c r="I518">
        <v>0</v>
      </c>
      <c r="J518">
        <v>0</v>
      </c>
    </row>
    <row r="519" spans="1:10" x14ac:dyDescent="0.3">
      <c r="A519">
        <v>500</v>
      </c>
      <c r="B519">
        <v>2495</v>
      </c>
      <c r="C519">
        <v>0</v>
      </c>
      <c r="D519">
        <v>0</v>
      </c>
      <c r="E519">
        <v>0</v>
      </c>
      <c r="F519">
        <v>0</v>
      </c>
      <c r="G519">
        <v>0</v>
      </c>
      <c r="H519">
        <v>0</v>
      </c>
      <c r="I519">
        <v>1E-8</v>
      </c>
      <c r="J519">
        <v>0</v>
      </c>
    </row>
    <row r="520" spans="1:10" x14ac:dyDescent="0.3">
      <c r="A520">
        <v>501</v>
      </c>
      <c r="B520">
        <v>2500</v>
      </c>
      <c r="C520">
        <v>0</v>
      </c>
      <c r="D520">
        <v>1E-8</v>
      </c>
      <c r="E520">
        <v>0</v>
      </c>
      <c r="F520">
        <v>0</v>
      </c>
      <c r="G520">
        <v>1E-8</v>
      </c>
      <c r="H520">
        <v>0</v>
      </c>
      <c r="I520">
        <v>1E-8</v>
      </c>
      <c r="J520">
        <v>0</v>
      </c>
    </row>
    <row r="521" spans="1:10" x14ac:dyDescent="0.3">
      <c r="A521">
        <v>502</v>
      </c>
      <c r="B521">
        <v>2505</v>
      </c>
      <c r="C521">
        <v>0</v>
      </c>
      <c r="D521">
        <v>0</v>
      </c>
      <c r="E521">
        <v>0</v>
      </c>
      <c r="F521">
        <v>0</v>
      </c>
      <c r="G521">
        <v>1E-8</v>
      </c>
      <c r="H521">
        <v>0</v>
      </c>
      <c r="I521">
        <v>1E-8</v>
      </c>
      <c r="J521">
        <v>0</v>
      </c>
    </row>
    <row r="522" spans="1:10" x14ac:dyDescent="0.3">
      <c r="A522">
        <v>503</v>
      </c>
      <c r="B522">
        <v>2510</v>
      </c>
      <c r="C522">
        <v>0</v>
      </c>
      <c r="D522">
        <v>0</v>
      </c>
      <c r="E522">
        <v>0</v>
      </c>
      <c r="F522">
        <v>0</v>
      </c>
      <c r="G522">
        <v>0</v>
      </c>
      <c r="H522">
        <v>0</v>
      </c>
      <c r="I522">
        <v>1E-8</v>
      </c>
      <c r="J522">
        <v>0</v>
      </c>
    </row>
    <row r="523" spans="1:10" x14ac:dyDescent="0.3">
      <c r="A523">
        <v>504</v>
      </c>
      <c r="B523">
        <v>2515</v>
      </c>
      <c r="C523">
        <v>0</v>
      </c>
      <c r="D523">
        <v>0</v>
      </c>
      <c r="E523">
        <v>0</v>
      </c>
      <c r="F523">
        <v>0</v>
      </c>
      <c r="G523">
        <v>1E-8</v>
      </c>
      <c r="H523">
        <v>0</v>
      </c>
      <c r="I523">
        <v>1E-8</v>
      </c>
      <c r="J523">
        <v>1E-8</v>
      </c>
    </row>
    <row r="524" spans="1:10" x14ac:dyDescent="0.3">
      <c r="A524">
        <v>505</v>
      </c>
      <c r="B524">
        <v>2520</v>
      </c>
      <c r="C524">
        <v>0</v>
      </c>
      <c r="D524">
        <v>0</v>
      </c>
      <c r="E524">
        <v>0</v>
      </c>
      <c r="F524">
        <v>0</v>
      </c>
      <c r="G524">
        <v>1E-8</v>
      </c>
      <c r="H524">
        <v>0</v>
      </c>
      <c r="I524">
        <v>1E-8</v>
      </c>
      <c r="J524">
        <v>1E-8</v>
      </c>
    </row>
    <row r="525" spans="1:10" x14ac:dyDescent="0.3">
      <c r="A525">
        <v>506</v>
      </c>
      <c r="B525">
        <v>2525</v>
      </c>
      <c r="C525">
        <v>0</v>
      </c>
      <c r="D525">
        <v>0</v>
      </c>
      <c r="E525">
        <v>0</v>
      </c>
      <c r="F525">
        <v>0</v>
      </c>
      <c r="G525">
        <v>1E-8</v>
      </c>
      <c r="H525">
        <v>0</v>
      </c>
      <c r="I525">
        <v>1E-8</v>
      </c>
      <c r="J525">
        <v>1E-8</v>
      </c>
    </row>
    <row r="526" spans="1:10" x14ac:dyDescent="0.3">
      <c r="A526">
        <v>507</v>
      </c>
      <c r="B526">
        <v>2530</v>
      </c>
      <c r="C526">
        <v>0</v>
      </c>
      <c r="D526">
        <v>0</v>
      </c>
      <c r="E526">
        <v>0</v>
      </c>
      <c r="F526">
        <v>0</v>
      </c>
      <c r="G526">
        <v>1E-8</v>
      </c>
      <c r="H526">
        <v>0</v>
      </c>
      <c r="I526">
        <v>1E-8</v>
      </c>
      <c r="J526">
        <v>0</v>
      </c>
    </row>
    <row r="527" spans="1:10" x14ac:dyDescent="0.3">
      <c r="A527">
        <v>508</v>
      </c>
      <c r="B527">
        <v>2535</v>
      </c>
      <c r="C527">
        <v>0</v>
      </c>
      <c r="D527">
        <v>0</v>
      </c>
      <c r="E527">
        <v>0</v>
      </c>
      <c r="F527">
        <v>0</v>
      </c>
      <c r="G527">
        <v>0</v>
      </c>
      <c r="H527">
        <v>0</v>
      </c>
      <c r="I527">
        <v>0</v>
      </c>
      <c r="J527">
        <v>0</v>
      </c>
    </row>
    <row r="528" spans="1:10" x14ac:dyDescent="0.3">
      <c r="A528">
        <v>509</v>
      </c>
      <c r="B528">
        <v>2540</v>
      </c>
      <c r="C528">
        <v>0</v>
      </c>
      <c r="D528">
        <v>0</v>
      </c>
      <c r="E528">
        <v>0</v>
      </c>
      <c r="F528">
        <v>0</v>
      </c>
      <c r="G528">
        <v>0</v>
      </c>
      <c r="H528">
        <v>0</v>
      </c>
      <c r="I528">
        <v>0</v>
      </c>
      <c r="J528">
        <v>0</v>
      </c>
    </row>
    <row r="529" spans="1:10" x14ac:dyDescent="0.3">
      <c r="A529">
        <v>510</v>
      </c>
      <c r="B529">
        <v>2545</v>
      </c>
      <c r="C529">
        <v>0</v>
      </c>
      <c r="D529">
        <v>0</v>
      </c>
      <c r="E529">
        <v>0</v>
      </c>
      <c r="F529">
        <v>0</v>
      </c>
      <c r="G529">
        <v>0</v>
      </c>
      <c r="H529">
        <v>0</v>
      </c>
      <c r="I529">
        <v>0</v>
      </c>
      <c r="J529">
        <v>0</v>
      </c>
    </row>
    <row r="530" spans="1:10" x14ac:dyDescent="0.3">
      <c r="A530">
        <v>511</v>
      </c>
      <c r="B530">
        <v>2550</v>
      </c>
      <c r="C530">
        <v>0</v>
      </c>
      <c r="D530">
        <v>0</v>
      </c>
      <c r="E530">
        <v>0</v>
      </c>
      <c r="F530">
        <v>0</v>
      </c>
      <c r="G530">
        <v>0</v>
      </c>
      <c r="H530">
        <v>0</v>
      </c>
      <c r="I530">
        <v>0</v>
      </c>
      <c r="J530">
        <v>0</v>
      </c>
    </row>
    <row r="531" spans="1:10" x14ac:dyDescent="0.3">
      <c r="A531">
        <v>512</v>
      </c>
      <c r="B531">
        <v>2555</v>
      </c>
      <c r="C531">
        <v>0</v>
      </c>
      <c r="D531">
        <v>0</v>
      </c>
      <c r="E531">
        <v>0</v>
      </c>
      <c r="F531">
        <v>0</v>
      </c>
      <c r="G531">
        <v>0</v>
      </c>
      <c r="H531">
        <v>0</v>
      </c>
      <c r="I531">
        <v>0</v>
      </c>
      <c r="J531">
        <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0C121BE-FE4A-4A0C-91E7-AB3BBD67D8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A90C1AD-A098-465C-BCBC-F5D194FB073E}">
  <ds:schemaRefs>
    <ds:schemaRef ds:uri="http://schemas.microsoft.com/sharepoint/v3/contenttype/forms"/>
  </ds:schemaRefs>
</ds:datastoreItem>
</file>

<file path=customXml/itemProps3.xml><?xml version="1.0" encoding="utf-8"?>
<ds:datastoreItem xmlns:ds="http://schemas.openxmlformats.org/officeDocument/2006/customXml" ds:itemID="{BB0C576A-F74A-4D24-961D-F4BEBD04A7F4}">
  <ds:schemaRefs>
    <ds:schemaRef ds:uri="http://www.w3.org/XML/1998/namespace"/>
    <ds:schemaRef ds:uri="http://schemas.openxmlformats.org/package/2006/metadata/core-properties"/>
    <ds:schemaRef ds:uri="http://schemas.microsoft.com/office/2006/documentManagement/types"/>
    <ds:schemaRef ds:uri="http://purl.org/dc/terms/"/>
    <ds:schemaRef ds:uri="http://purl.org/dc/elements/1.1/"/>
    <ds:schemaRef ds:uri="http://purl.org/dc/dcmitype/"/>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Weight Checkout</vt:lpstr>
      <vt:lpstr>Y-Axis Weight</vt:lpstr>
    </vt:vector>
  </TitlesOfParts>
  <Company>United Launch Alliance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%USERNAME%</dc:creator>
  <cp:lastModifiedBy>Env_Lab</cp:lastModifiedBy>
  <cp:lastPrinted>2016-08-01T17:39:04Z</cp:lastPrinted>
  <dcterms:created xsi:type="dcterms:W3CDTF">2015-07-22T21:24:34Z</dcterms:created>
  <dcterms:modified xsi:type="dcterms:W3CDTF">2016-10-11T17:56:48Z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60d9a22e-bbc2-4133-bbd9-2c16be15a4d2</vt:lpwstr>
  </property>
  <property fmtid="{D5CDD505-2E9C-101B-9397-08002B2CF9AE}" pid="3" name="ULAMicrosoft Office Document Classification">
    <vt:lpwstr>N/A - Not Applicable - Non Sensitive Information</vt:lpwstr>
  </property>
  <property fmtid="{D5CDD505-2E9C-101B-9397-08002B2CF9AE}" pid="4" name="ULAAdditional Controls">
    <vt:lpwstr/>
  </property>
</Properties>
</file>