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ohcincefs01\Space_Main\Space_Engineering\TDR_Collaboration\Anomaly Reports\Anomaly Reports\Controls\OCU\AR-0136-OCU-Top_Level-SN0034\"/>
    </mc:Choice>
  </mc:AlternateContent>
  <bookViews>
    <workbookView xWindow="0" yWindow="0" windowWidth="20400" windowHeight="7020"/>
  </bookViews>
  <sheets>
    <sheet name="Anomaly Report" sheetId="1" r:id="rId1"/>
    <sheet name="Anomaly Owner" sheetId="11" r:id="rId2"/>
    <sheet name="Sub-Assy Data Collection" sheetId="9" r:id="rId3"/>
    <sheet name="Network Paths and Names" sheetId="13" r:id="rId4"/>
    <sheet name="DatabaseExportTable" sheetId="5" r:id="rId5"/>
    <sheet name="Common Down Menus" sheetId="2" r:id="rId6"/>
    <sheet name="ATK Specific Menus" sheetId="12" r:id="rId7"/>
    <sheet name="Contact List" sheetId="3" r:id="rId8"/>
  </sheets>
  <definedNames>
    <definedName name="_1553">Table21[_1553]</definedName>
    <definedName name="ACU">'ATK Specific Menus'!$P$11</definedName>
    <definedName name="Anomaly_Owner" localSheetId="1">Table10[Anomaly_Owner]</definedName>
    <definedName name="Anomaly_Owner" localSheetId="2">Table10[Anomaly_Owner]</definedName>
    <definedName name="Anomaly_Owner">Table10[Anomaly_Owner]</definedName>
    <definedName name="APIM">Table21[APIM]</definedName>
    <definedName name="ATK">ATK_Table[ATK]</definedName>
    <definedName name="ATKTest_Rack">Test_Pos_Table14[ATKTest_Rack]</definedName>
    <definedName name="BCPDU">'ATK Specific Menus'!$M$11</definedName>
    <definedName name="BPIM">Table21[BPIM]</definedName>
    <definedName name="CCC">Table21[CCC]</definedName>
    <definedName name="CCU" localSheetId="1">CCU_Table[CCU]</definedName>
    <definedName name="CCU" localSheetId="2">CCU_Table[CCU]</definedName>
    <definedName name="CCU">CCU_Table[CCU]</definedName>
    <definedName name="CFP">Table21[CFP]</definedName>
    <definedName name="CMF">Table21[CMF]</definedName>
    <definedName name="Controls">Table6[Controls]</definedName>
    <definedName name="ControlsTest_Rack">Test_Pos_Table[ControlsTest_Rack]</definedName>
    <definedName name="CPIM">Table21[CPIM]</definedName>
    <definedName name="CRP">Table21[CRP]</definedName>
    <definedName name="DAS">Table21[DAS]</definedName>
    <definedName name="Direct_Cause" localSheetId="1">Table11[Direct_Cause]</definedName>
    <definedName name="Direct_Cause">Table11[Direct_Cause]</definedName>
    <definedName name="EOM">Table21[EOM]</definedName>
    <definedName name="FSAB_A" localSheetId="1">FSAB_A_Table[FSAB_A]</definedName>
    <definedName name="FSAB_A" localSheetId="2">FSAB_A_Table[FSAB_A]</definedName>
    <definedName name="FSAB_A">FSAB_A_Table[FSAB_A]</definedName>
    <definedName name="FSAB_D" localSheetId="1">FSAB_D_Table[FSAB_D]</definedName>
    <definedName name="FSAB_D" localSheetId="2">FSAB_D_Table[FSAB_D]</definedName>
    <definedName name="FSAB_D">FSAB_D_Table[FSAB_D]</definedName>
    <definedName name="HCM">Table21[HCM]</definedName>
    <definedName name="HCPS">Table21[HCPS]</definedName>
    <definedName name="HKPS">Table21[HKPS]</definedName>
    <definedName name="HKPSC">Table21[HKPSC]</definedName>
    <definedName name="HKPSP">Table21[HKPSP]</definedName>
    <definedName name="HPIM">Table21[HPIM]</definedName>
    <definedName name="HPUC">'ATK Specific Menus'!$N$11</definedName>
    <definedName name="IFCM">Table21[IFCM]</definedName>
    <definedName name="IFCM2">Table21[IFCM2]</definedName>
    <definedName name="IPIM">Table21[IPIM]</definedName>
    <definedName name="IRIM">Table21[IRIM]</definedName>
    <definedName name="ISC">'ATK Specific Menus'!$O$11</definedName>
    <definedName name="OCU" localSheetId="1">OCU_Table[OCU]</definedName>
    <definedName name="OCU" localSheetId="2">OCU_Table[OCU]</definedName>
    <definedName name="OCU">OCU_Table[OCU]</definedName>
    <definedName name="PIMCTRL">Table21[PIMCTRL]</definedName>
    <definedName name="PIMHC">Table21[PIMHC]</definedName>
    <definedName name="Please_Select" localSheetId="1">Table18[Please_Select]</definedName>
    <definedName name="Please_Select" localSheetId="2">Table18[Please_Select]</definedName>
    <definedName name="Please_Select">Table18[Please_Select]</definedName>
    <definedName name="_xlnm.Print_Area" localSheetId="1">'Anomaly Owner'!$A$1:$AK$47</definedName>
    <definedName name="_xlnm.Print_Area" localSheetId="0">'Anomaly Report'!$A$1:$AK$47</definedName>
    <definedName name="_xlnm.Print_Area" localSheetId="2">'Sub-Assy Data Collection'!$A$1:$AK$48</definedName>
    <definedName name="Program_Names">Table1[Program Names]</definedName>
    <definedName name="PSM">Table21[PSM]</definedName>
    <definedName name="SRM">Table21[SRM]</definedName>
    <definedName name="Test_Description" localSheetId="1">Test_Des_Table[Test_Description]</definedName>
    <definedName name="Test_Description" localSheetId="2">Test_Des_Table[Test_Description]</definedName>
    <definedName name="Test_Description">Test_Des_Table[Test_Description]</definedName>
    <definedName name="Test_Rack" localSheetId="1">Test_Pos_Table[ControlsTest_Rack]</definedName>
    <definedName name="Test_Rack" localSheetId="2">Test_Pos_Table[ControlsTest_Rack]</definedName>
    <definedName name="Test_Rack">Test_Pos_Table[ControlsTest_Rack]</definedName>
    <definedName name="Test_Technician" localSheetId="1">Tech_Table[Test Technician]</definedName>
    <definedName name="Test_Technician" localSheetId="2">Tech_Table[Test Technician]</definedName>
    <definedName name="Test_Technician">Tech_Table[Test Technician]</definedName>
    <definedName name="TVC_DIM">Table21[TVC/DIM]</definedName>
    <definedName name="Type_of_Issue" localSheetId="1">Table9[Type_of_Issue]</definedName>
    <definedName name="Type_of_Issue" localSheetId="2">Table9[Type_of_Issue]</definedName>
    <definedName name="Type_of_Issue">Table9[Type_of_Issue]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3" l="1"/>
  <c r="G29" i="2" l="1"/>
  <c r="G28" i="2" l="1"/>
  <c r="G27" i="2"/>
  <c r="N15" i="3" l="1"/>
  <c r="N7" i="3" l="1"/>
  <c r="N5" i="3"/>
  <c r="N6" i="3"/>
  <c r="N4" i="3"/>
  <c r="N2" i="3"/>
  <c r="G25" i="2" l="1"/>
  <c r="G24" i="2"/>
  <c r="G23" i="2"/>
  <c r="G22" i="2"/>
  <c r="G21" i="2"/>
  <c r="G20" i="2"/>
  <c r="G19" i="2"/>
  <c r="G18" i="2"/>
  <c r="G17" i="2"/>
  <c r="G15" i="2"/>
  <c r="N3" i="3" l="1"/>
  <c r="B2" i="1" l="1"/>
  <c r="O4" i="9" l="1"/>
  <c r="BK3" i="5" l="1"/>
  <c r="AM15" i="1" l="1"/>
  <c r="R8" i="1"/>
  <c r="R7" i="1"/>
  <c r="R6" i="1"/>
  <c r="BS3" i="11" l="1"/>
  <c r="BN3" i="5" l="1"/>
  <c r="G74" i="2" l="1"/>
  <c r="G73" i="2"/>
  <c r="G72" i="2"/>
  <c r="G71" i="2"/>
  <c r="G70" i="2"/>
  <c r="G66" i="2"/>
  <c r="G65" i="2"/>
  <c r="G64" i="2"/>
  <c r="G60" i="2"/>
  <c r="G59" i="2"/>
  <c r="G58" i="2"/>
  <c r="G13" i="2"/>
  <c r="G12" i="2"/>
  <c r="G11" i="2"/>
  <c r="G10" i="2"/>
  <c r="G9" i="2"/>
  <c r="G8" i="2"/>
  <c r="G7" i="2"/>
  <c r="G6" i="2"/>
  <c r="AM11" i="1"/>
  <c r="AM16" i="1" l="1"/>
</calcChain>
</file>

<file path=xl/sharedStrings.xml><?xml version="1.0" encoding="utf-8"?>
<sst xmlns="http://schemas.openxmlformats.org/spreadsheetml/2006/main" count="1145" uniqueCount="507">
  <si>
    <t>CCU</t>
  </si>
  <si>
    <t>OCU</t>
  </si>
  <si>
    <t>FSAB_D</t>
  </si>
  <si>
    <t>FSAB_A</t>
  </si>
  <si>
    <t>ADD</t>
  </si>
  <si>
    <t>FDR</t>
  </si>
  <si>
    <t>BIU</t>
  </si>
  <si>
    <t>LPS</t>
  </si>
  <si>
    <t>TRD PN</t>
  </si>
  <si>
    <t>1F67610</t>
  </si>
  <si>
    <t>1F67614-1</t>
  </si>
  <si>
    <t>1F67620</t>
  </si>
  <si>
    <t>1F67624-1</t>
  </si>
  <si>
    <t>1F67650-1</t>
  </si>
  <si>
    <t>1F67654-1</t>
  </si>
  <si>
    <t>1F67660-1</t>
  </si>
  <si>
    <t>1F67664-1</t>
  </si>
  <si>
    <t>1F67670-1</t>
  </si>
  <si>
    <t>1F67674-1</t>
  </si>
  <si>
    <t>1F67690-1</t>
  </si>
  <si>
    <t>1F67694-1</t>
  </si>
  <si>
    <t>Please_Select</t>
  </si>
  <si>
    <t>HBS</t>
  </si>
  <si>
    <t>CMS</t>
  </si>
  <si>
    <t>SMS</t>
  </si>
  <si>
    <t>N/A</t>
  </si>
  <si>
    <t>HKPS</t>
  </si>
  <si>
    <t>FLS</t>
  </si>
  <si>
    <t>TVC</t>
  </si>
  <si>
    <t>1F67340</t>
  </si>
  <si>
    <t>1F67350</t>
  </si>
  <si>
    <t>1F67440</t>
  </si>
  <si>
    <t>1F67450</t>
  </si>
  <si>
    <t>1F67460</t>
  </si>
  <si>
    <t>1F67490</t>
  </si>
  <si>
    <t>1F67740</t>
  </si>
  <si>
    <t>1F67750</t>
  </si>
  <si>
    <t>1F67744</t>
  </si>
  <si>
    <t>1F67754</t>
  </si>
  <si>
    <t>1F67344</t>
  </si>
  <si>
    <t>1F67354</t>
  </si>
  <si>
    <t>1F67444</t>
  </si>
  <si>
    <t>1F67454</t>
  </si>
  <si>
    <t>1F67464</t>
  </si>
  <si>
    <t>1F67494</t>
  </si>
  <si>
    <t>Test Technician</t>
  </si>
  <si>
    <t>Name</t>
  </si>
  <si>
    <t>Email</t>
  </si>
  <si>
    <t>colin.m.miller@ulalaunch.com</t>
  </si>
  <si>
    <t>michael.m.mills@ulalaunch.com</t>
  </si>
  <si>
    <t>Peter.D.vanderHoop@ulalaunch.com</t>
  </si>
  <si>
    <t>steve.entrekin@ulalaunch.com</t>
  </si>
  <si>
    <t>Assembly Name:</t>
  </si>
  <si>
    <t>Serial Number:</t>
  </si>
  <si>
    <t>Assembly Number:</t>
  </si>
  <si>
    <t>Date (Failure):</t>
  </si>
  <si>
    <t>Time (Failure):</t>
  </si>
  <si>
    <t>Drop Down Selections</t>
  </si>
  <si>
    <t>Auto Complete Options</t>
  </si>
  <si>
    <t>Fill in the Blank</t>
  </si>
  <si>
    <t>Test Description:</t>
  </si>
  <si>
    <t>Test Tech (At Test START):</t>
  </si>
  <si>
    <t>Module PN2</t>
  </si>
  <si>
    <t>Unique Lookup</t>
  </si>
  <si>
    <t>Functional</t>
  </si>
  <si>
    <t>Test_Description</t>
  </si>
  <si>
    <t>Controls #1</t>
  </si>
  <si>
    <t>Controls #2</t>
  </si>
  <si>
    <t>Controls #3</t>
  </si>
  <si>
    <t>Initial Failure Description (Error Message Displayed on Screen):</t>
  </si>
  <si>
    <t>Test Rack:</t>
  </si>
  <si>
    <t>N. Kramer</t>
  </si>
  <si>
    <t>D. Denoff</t>
  </si>
  <si>
    <t>D. Dudley-Davis</t>
  </si>
  <si>
    <t>C. Evans</t>
  </si>
  <si>
    <t>W. Foltz</t>
  </si>
  <si>
    <t>R. Goins</t>
  </si>
  <si>
    <t>J. Kriner</t>
  </si>
  <si>
    <t>T. McLemore</t>
  </si>
  <si>
    <t>G. Shepherd</t>
  </si>
  <si>
    <t>E. Sizemore</t>
  </si>
  <si>
    <t>K. St. Clair</t>
  </si>
  <si>
    <t>J. Swadener</t>
  </si>
  <si>
    <t>B. Watkins</t>
  </si>
  <si>
    <t>Dennis.Denoff@l-3com.com</t>
  </si>
  <si>
    <t>Denise.Dudley-Davis@L-3com.com</t>
  </si>
  <si>
    <t>Christopher.Evans2@L-3com.com</t>
  </si>
  <si>
    <t>Wayne.Foltz@L-3Com.com</t>
  </si>
  <si>
    <t>Ronald.Goins@l-3com.com</t>
  </si>
  <si>
    <t>Chris.Katsetos@L-3Com.com</t>
  </si>
  <si>
    <t>Nick.Kramer@L-3com.com</t>
  </si>
  <si>
    <t>John.Kriner@l-3com.com</t>
  </si>
  <si>
    <t>Tonda.McLemore@l-3com.com</t>
  </si>
  <si>
    <t>david.seamount@ulalaunch.com</t>
  </si>
  <si>
    <t>Gary.Shepherd2@l-3com.com</t>
  </si>
  <si>
    <t>Edwin.Sizemore@L-3com.com</t>
  </si>
  <si>
    <t>Kevin.St.Clair@l-3com.com</t>
  </si>
  <si>
    <t>Jacob.Swadener@l-3com.com</t>
  </si>
  <si>
    <t>Brian.Watkins2@L-3com.com</t>
  </si>
  <si>
    <t xml:space="preserve"> Denoff, Denis </t>
  </si>
  <si>
    <t xml:space="preserve"> Dudley-Davis, Denise </t>
  </si>
  <si>
    <t xml:space="preserve"> Evans, Christopher </t>
  </si>
  <si>
    <t xml:space="preserve"> Foltz, Wayne </t>
  </si>
  <si>
    <t xml:space="preserve"> Goins, Ronald </t>
  </si>
  <si>
    <t xml:space="preserve"> Kramer, Nick </t>
  </si>
  <si>
    <t xml:space="preserve"> Kriner, John </t>
  </si>
  <si>
    <t xml:space="preserve"> McLemore, Tonda </t>
  </si>
  <si>
    <t xml:space="preserve"> Shepherd, Gary </t>
  </si>
  <si>
    <t xml:space="preserve"> Sizemore, Edwin </t>
  </si>
  <si>
    <t xml:space="preserve"> St. Clair, Kevin M </t>
  </si>
  <si>
    <t xml:space="preserve"> Swadener, Jacob </t>
  </si>
  <si>
    <t xml:space="preserve"> Watkins, Brian </t>
  </si>
  <si>
    <t xml:space="preserve">Lang, Michael </t>
  </si>
  <si>
    <t>FSAB-A</t>
  </si>
  <si>
    <t xml:space="preserve">Bahan, Michael </t>
  </si>
  <si>
    <t xml:space="preserve"> Blankenship, Timothy </t>
  </si>
  <si>
    <t xml:space="preserve"> Entrekin, Steve </t>
  </si>
  <si>
    <t xml:space="preserve"> 'Miller, Colin M' </t>
  </si>
  <si>
    <t>Michael.Bahan@l-3com.com</t>
  </si>
  <si>
    <t>Timothy.Blankenship@l-3com.com</t>
  </si>
  <si>
    <t>FSAB-D</t>
  </si>
  <si>
    <t>X</t>
  </si>
  <si>
    <t xml:space="preserve"> Koerner, Brian J </t>
  </si>
  <si>
    <t xml:space="preserve"> 'van der Hoop, Peter D' </t>
  </si>
  <si>
    <t>brian.j.koerner@ulalaunch.com</t>
  </si>
  <si>
    <t>To</t>
  </si>
  <si>
    <t>cc</t>
  </si>
  <si>
    <t>CC</t>
  </si>
  <si>
    <t>TO</t>
  </si>
  <si>
    <t>Program Name</t>
  </si>
  <si>
    <t>Assembly Name</t>
  </si>
  <si>
    <t>Assembly Number</t>
  </si>
  <si>
    <t>Serial Number</t>
  </si>
  <si>
    <t>Date (failure)</t>
  </si>
  <si>
    <t>Time (failure)</t>
  </si>
  <si>
    <t>Test Rack</t>
  </si>
  <si>
    <t>Test Tech</t>
  </si>
  <si>
    <t>Para/Step</t>
  </si>
  <si>
    <t>Failure Desc</t>
  </si>
  <si>
    <t>Test Desc</t>
  </si>
  <si>
    <t>Previous Number of Issues 
with this SN:</t>
  </si>
  <si>
    <t>Previous Number of Issues 
with this Paragraph/Step:</t>
  </si>
  <si>
    <t>Top_Level</t>
  </si>
  <si>
    <t>(1/9) - 1st Functional</t>
  </si>
  <si>
    <t>(2/9) - 4 Thermal Cycles</t>
  </si>
  <si>
    <t>(3/9) - Pre-Vibe Functional</t>
  </si>
  <si>
    <t>(4/9) - X-Vibe</t>
  </si>
  <si>
    <t>(5/9) - Y-Vibe</t>
  </si>
  <si>
    <t>(6/9) - Z-Vibe</t>
  </si>
  <si>
    <t>(7/9) - Post-Vibe Functional</t>
  </si>
  <si>
    <t>(8/9) - 4 Thermal Cycles</t>
  </si>
  <si>
    <t>(9/9) - Final Functional</t>
  </si>
  <si>
    <t>1F67700</t>
  </si>
  <si>
    <t>1F67704</t>
  </si>
  <si>
    <t>1F67300</t>
  </si>
  <si>
    <t>1F67304</t>
  </si>
  <si>
    <t>1F67400</t>
  </si>
  <si>
    <t>1F67404</t>
  </si>
  <si>
    <t>Corrective Action:</t>
  </si>
  <si>
    <t>Investigation Summary:</t>
  </si>
  <si>
    <t>Product Name:</t>
  </si>
  <si>
    <t>Stress Analysis Summary:</t>
  </si>
  <si>
    <t>Type_of_Issue</t>
  </si>
  <si>
    <t>Test Set</t>
  </si>
  <si>
    <t>UUT</t>
  </si>
  <si>
    <t>Both</t>
  </si>
  <si>
    <t>Type of Issue:</t>
  </si>
  <si>
    <t>Paragraph/Step:</t>
  </si>
  <si>
    <t>Anomaly Owner:</t>
  </si>
  <si>
    <t>Anomaly_Owner</t>
  </si>
  <si>
    <t xml:space="preserve"> Seamount, David' </t>
  </si>
  <si>
    <t xml:space="preserve"> Mills, Michael M' </t>
  </si>
  <si>
    <t xml:space="preserve"> Bahan, Michael </t>
  </si>
  <si>
    <t>Riess, Ed</t>
  </si>
  <si>
    <t xml:space="preserve">Blankenship, Timothy </t>
  </si>
  <si>
    <t xml:space="preserve">Watkins, Brian </t>
  </si>
  <si>
    <t xml:space="preserve">Swadener, Jacob </t>
  </si>
  <si>
    <t xml:space="preserve">St. Clair, Kevin M </t>
  </si>
  <si>
    <t xml:space="preserve">Sizemore, Edwin </t>
  </si>
  <si>
    <t xml:space="preserve">Shepherd, Gary </t>
  </si>
  <si>
    <t xml:space="preserve">Russo, Michael </t>
  </si>
  <si>
    <t xml:space="preserve">McLemore, Tonda </t>
  </si>
  <si>
    <t xml:space="preserve">Kriner, John </t>
  </si>
  <si>
    <t xml:space="preserve">Kramer, Nick </t>
  </si>
  <si>
    <t xml:space="preserve">Katsetos, Chris </t>
  </si>
  <si>
    <t xml:space="preserve">Grody, Bryan </t>
  </si>
  <si>
    <t xml:space="preserve">Goins, Ronald </t>
  </si>
  <si>
    <t xml:space="preserve">Foltz, Wayne </t>
  </si>
  <si>
    <t xml:space="preserve">Evans, Christopher </t>
  </si>
  <si>
    <t xml:space="preserve">Dudley-Davis, Denise </t>
  </si>
  <si>
    <t xml:space="preserve">Denoff, Denis </t>
  </si>
  <si>
    <t xml:space="preserve">Dames, Michael B </t>
  </si>
  <si>
    <t xml:space="preserve">Bedel, Michael </t>
  </si>
  <si>
    <t>Shreve, Bob</t>
  </si>
  <si>
    <t>Hughes, Mike</t>
  </si>
  <si>
    <t>Rist, Mike</t>
  </si>
  <si>
    <t>Date (Stand Cleared):</t>
  </si>
  <si>
    <t>Time (Stand Cleared):</t>
  </si>
  <si>
    <t>CHANGE TEST SET STATUS</t>
  </si>
  <si>
    <t>ALL CONTROLS</t>
  </si>
  <si>
    <t>CONTROLS SUB-ASSY</t>
  </si>
  <si>
    <t>TDR #</t>
  </si>
  <si>
    <t>Link to TRD</t>
  </si>
  <si>
    <t>Link to Schematics</t>
  </si>
  <si>
    <t>Link to DWG's</t>
  </si>
  <si>
    <t>Disposition for TDR diagnosis</t>
  </si>
  <si>
    <t>Failure Modes/Codes (TIPQA)</t>
  </si>
  <si>
    <t>Direct Cause</t>
  </si>
  <si>
    <t>Data Collection</t>
  </si>
  <si>
    <t>Identify Test Step Failed:</t>
  </si>
  <si>
    <t>Collect constant monitor data (TDMS file):</t>
  </si>
  <si>
    <t>Capture screenshot of blue monitor screen:</t>
  </si>
  <si>
    <t>Check omnetics connectors for proper installation:</t>
  </si>
  <si>
    <t>Check P1 for proper connection</t>
  </si>
  <si>
    <t>Check quality seals:</t>
  </si>
  <si>
    <t>Check power supplies (see whether drawing excess current):</t>
  </si>
  <si>
    <t>Last Flight Unit</t>
  </si>
  <si>
    <t>Last Golden Run</t>
  </si>
  <si>
    <t>Current Failing Unit</t>
  </si>
  <si>
    <t>Collect Functional data:</t>
  </si>
  <si>
    <t>Collect flying probe data:</t>
  </si>
  <si>
    <t>This Files Name:</t>
  </si>
  <si>
    <t>Program Name:</t>
  </si>
  <si>
    <t>Direct_Cause</t>
  </si>
  <si>
    <t>Wrong Part</t>
  </si>
  <si>
    <t>Reversed Part</t>
  </si>
  <si>
    <t>Defective Part</t>
  </si>
  <si>
    <t>Damaged Part</t>
  </si>
  <si>
    <t>Solder Short</t>
  </si>
  <si>
    <t>Insufficient Solder</t>
  </si>
  <si>
    <t>Leaky Diode</t>
  </si>
  <si>
    <t>Troubleshooting</t>
  </si>
  <si>
    <t>Overstressed</t>
  </si>
  <si>
    <t>Replace Part(s)</t>
  </si>
  <si>
    <t>Attach Jumper(s)</t>
  </si>
  <si>
    <t>Remove Jumper(s)</t>
  </si>
  <si>
    <t>Flux</t>
  </si>
  <si>
    <t>FOD</t>
  </si>
  <si>
    <t xml:space="preserve">OTHER </t>
  </si>
  <si>
    <t>Anomaly
Owner</t>
  </si>
  <si>
    <t>Issue Type</t>
  </si>
  <si>
    <t>Link to start Manufacturing Rework Traveler</t>
  </si>
  <si>
    <t>Program Names</t>
  </si>
  <si>
    <t>Controls</t>
  </si>
  <si>
    <t>ATK</t>
  </si>
  <si>
    <t>BCPDU</t>
  </si>
  <si>
    <t>HPUC</t>
  </si>
  <si>
    <t>ISC</t>
  </si>
  <si>
    <t>ACU</t>
  </si>
  <si>
    <t>SRM</t>
  </si>
  <si>
    <t>688890-401</t>
  </si>
  <si>
    <t>BPIM</t>
  </si>
  <si>
    <t>688874-402</t>
  </si>
  <si>
    <t>PIMCTRL</t>
  </si>
  <si>
    <t>688870-401</t>
  </si>
  <si>
    <t>PIMHC</t>
  </si>
  <si>
    <t>688872-401</t>
  </si>
  <si>
    <t>CFP</t>
  </si>
  <si>
    <t>688894-401</t>
  </si>
  <si>
    <t>CRP</t>
  </si>
  <si>
    <t>688892-401</t>
  </si>
  <si>
    <t>688888-401</t>
  </si>
  <si>
    <t>HKPSC</t>
  </si>
  <si>
    <t>688876-401</t>
  </si>
  <si>
    <t>HKPSP</t>
  </si>
  <si>
    <t>688880-401</t>
  </si>
  <si>
    <t>PSM</t>
  </si>
  <si>
    <t>688882-401</t>
  </si>
  <si>
    <t>DAS</t>
  </si>
  <si>
    <t>688886-402xx</t>
  </si>
  <si>
    <t>TVC/DIM</t>
  </si>
  <si>
    <t>688878-401xx</t>
  </si>
  <si>
    <t>EOM</t>
  </si>
  <si>
    <t>688780-401</t>
  </si>
  <si>
    <t>688884-401xx</t>
  </si>
  <si>
    <t>CMF</t>
  </si>
  <si>
    <t>688868-401</t>
  </si>
  <si>
    <t>HPIM</t>
  </si>
  <si>
    <t>HCPS</t>
  </si>
  <si>
    <t>HCM</t>
  </si>
  <si>
    <t>688640-401</t>
  </si>
  <si>
    <t>688644-401</t>
  </si>
  <si>
    <t>688888-405</t>
  </si>
  <si>
    <t>688876-405</t>
  </si>
  <si>
    <t>688880-405</t>
  </si>
  <si>
    <t>688886-404xx</t>
  </si>
  <si>
    <t>688884-403xx</t>
  </si>
  <si>
    <t>688624-401</t>
  </si>
  <si>
    <t>688622-401</t>
  </si>
  <si>
    <t>688632-401xx</t>
  </si>
  <si>
    <t>688740-401</t>
  </si>
  <si>
    <t>688744-401</t>
  </si>
  <si>
    <t>688742-401</t>
  </si>
  <si>
    <t>688888-402</t>
  </si>
  <si>
    <t>688876-402</t>
  </si>
  <si>
    <t>688880-402</t>
  </si>
  <si>
    <t>688886-403xx</t>
  </si>
  <si>
    <t>688884-404xx</t>
  </si>
  <si>
    <t>IPIM</t>
  </si>
  <si>
    <t>688724-401</t>
  </si>
  <si>
    <t>CPIM</t>
  </si>
  <si>
    <t>688772-401</t>
  </si>
  <si>
    <t>IRIM</t>
  </si>
  <si>
    <t>688730-401xx</t>
  </si>
  <si>
    <t>IFCM</t>
  </si>
  <si>
    <t>688732-401</t>
  </si>
  <si>
    <t>688732-402</t>
  </si>
  <si>
    <t>688890-402</t>
  </si>
  <si>
    <t>688870-402</t>
  </si>
  <si>
    <t>688872-402</t>
  </si>
  <si>
    <t>688844-401</t>
  </si>
  <si>
    <t>688882-402</t>
  </si>
  <si>
    <t>688878-402xx</t>
  </si>
  <si>
    <t>APIM</t>
  </si>
  <si>
    <t>688824-401</t>
  </si>
  <si>
    <t>CCC</t>
  </si>
  <si>
    <t>688834-401xx</t>
  </si>
  <si>
    <t>BCPDU PNs</t>
  </si>
  <si>
    <t>HPUC PNs</t>
  </si>
  <si>
    <t>ISC PNs</t>
  </si>
  <si>
    <t>ACU PNs</t>
  </si>
  <si>
    <t>IFCM2</t>
  </si>
  <si>
    <t>TRD/TP</t>
  </si>
  <si>
    <t>TP688900</t>
  </si>
  <si>
    <t>TRD688888</t>
  </si>
  <si>
    <t>TRD688882</t>
  </si>
  <si>
    <t>TRD688886</t>
  </si>
  <si>
    <t>TRD688878</t>
  </si>
  <si>
    <t>TRD688780</t>
  </si>
  <si>
    <t>TRD688884</t>
  </si>
  <si>
    <t>TP688650</t>
  </si>
  <si>
    <t>TRD688632</t>
  </si>
  <si>
    <t>TRD688730</t>
  </si>
  <si>
    <t>TRD688732</t>
  </si>
  <si>
    <t>Assy</t>
  </si>
  <si>
    <t>Assy Num</t>
  </si>
  <si>
    <t>Box Level</t>
  </si>
  <si>
    <t>ATK #1</t>
  </si>
  <si>
    <t>ATK #2</t>
  </si>
  <si>
    <t>ATKTest_Rack</t>
  </si>
  <si>
    <t>ControlsTest_Rack</t>
  </si>
  <si>
    <t>Lorena.Sweeney@L-3com.com; Michael.Droege@L-3com.com; Matthew.Petroff@L-3com.com</t>
  </si>
  <si>
    <t>STEP 1</t>
  </si>
  <si>
    <t>STEP 2</t>
  </si>
  <si>
    <t>STEP 3</t>
  </si>
  <si>
    <t>STEP 4</t>
  </si>
  <si>
    <t>STEP 5</t>
  </si>
  <si>
    <t>STEP 6</t>
  </si>
  <si>
    <t>(Support Engineer takes ownership of Anomaly)</t>
  </si>
  <si>
    <t>(Identify what type of Issue this Anomaly can be attributed to)</t>
  </si>
  <si>
    <t>(Provide the TDR number if this Anomaly becomes one, otherwise use "N/A")</t>
  </si>
  <si>
    <t>(Go to "Sub-Assy Data Collection" tab and begin the initial data collection steps)</t>
  </si>
  <si>
    <t>"This will RESET the entire sheet"</t>
  </si>
  <si>
    <t>(Fill out all the cells prior to "Anomaly Owner" and then begin the data collection)</t>
  </si>
  <si>
    <t>(Complete the rest of the Form and submit for "Peer Review")</t>
  </si>
  <si>
    <t>TDR Number</t>
  </si>
  <si>
    <t>QE</t>
  </si>
  <si>
    <t>George.Lucas2@L-3com.com</t>
  </si>
  <si>
    <t>Peer Review</t>
  </si>
  <si>
    <t>QE Review</t>
  </si>
  <si>
    <t>STEP 7</t>
  </si>
  <si>
    <t>This Document</t>
  </si>
  <si>
    <t>Anomaly Log Path</t>
  </si>
  <si>
    <t>Anomaly Log File Name</t>
  </si>
  <si>
    <t>Description</t>
  </si>
  <si>
    <t>Network Path/File Name</t>
  </si>
  <si>
    <t>Type</t>
  </si>
  <si>
    <t>Path</t>
  </si>
  <si>
    <t>VB Name</t>
  </si>
  <si>
    <t>ThisFile</t>
  </si>
  <si>
    <t>AnomLog</t>
  </si>
  <si>
    <t>AnomLogLocation</t>
  </si>
  <si>
    <t>Report Directory</t>
  </si>
  <si>
    <t>Report File Name</t>
  </si>
  <si>
    <t>ReportLocation</t>
  </si>
  <si>
    <t>ReportName</t>
  </si>
  <si>
    <t>\\ohcincefs01\Space_Main\Space_Engineering\TDR_Collaboration\Anomaly Reports\Anomaly Database\</t>
  </si>
  <si>
    <t>\\ohcincefs01\Space_Main\Space_Engineering\TDR_Collaboration\Anomaly Reports\Anomaly Reports\</t>
  </si>
  <si>
    <r>
      <rPr>
        <sz val="11"/>
        <color rgb="FF0070C0"/>
        <rFont val="Calibri"/>
        <family val="2"/>
        <scheme val="minor"/>
      </rPr>
      <t>ARHandoff</t>
    </r>
    <r>
      <rPr>
        <sz val="11"/>
        <color theme="1"/>
        <rFont val="Calibri"/>
        <family val="2"/>
        <scheme val="minor"/>
      </rPr>
      <t xml:space="preserve"> &amp; "-" &amp; </t>
    </r>
    <r>
      <rPr>
        <sz val="11"/>
        <color rgb="FF0070C0"/>
        <rFont val="Calibri"/>
        <family val="2"/>
        <scheme val="minor"/>
      </rPr>
      <t>ProductName</t>
    </r>
    <r>
      <rPr>
        <sz val="11"/>
        <color theme="1"/>
        <rFont val="Calibri"/>
        <family val="2"/>
        <scheme val="minor"/>
      </rPr>
      <t xml:space="preserve"> &amp; "-" &amp; </t>
    </r>
    <r>
      <rPr>
        <sz val="11"/>
        <color rgb="FF0070C0"/>
        <rFont val="Calibri"/>
        <family val="2"/>
        <scheme val="minor"/>
      </rPr>
      <t>AssyName</t>
    </r>
    <r>
      <rPr>
        <sz val="11"/>
        <color theme="1"/>
        <rFont val="Calibri"/>
        <family val="2"/>
        <scheme val="minor"/>
      </rPr>
      <t xml:space="preserve"> &amp; "-SN" &amp; </t>
    </r>
    <r>
      <rPr>
        <sz val="11"/>
        <color rgb="FF0070C0"/>
        <rFont val="Calibri"/>
        <family val="2"/>
        <scheme val="minor"/>
      </rPr>
      <t>SN</t>
    </r>
    <r>
      <rPr>
        <sz val="11"/>
        <color theme="1"/>
        <rFont val="Calibri"/>
        <family val="2"/>
        <scheme val="minor"/>
      </rPr>
      <t xml:space="preserve"> &amp; ".xlsm"</t>
    </r>
  </si>
  <si>
    <t>Used from this table within VB code</t>
  </si>
  <si>
    <t>Yes</t>
  </si>
  <si>
    <t>No</t>
  </si>
  <si>
    <t>Anomaly Template Path</t>
  </si>
  <si>
    <t>Anomaly Template Name</t>
  </si>
  <si>
    <t>\\ohcincefs01\Space_Main\Space_Engineering\TDR_Collaboration\Anomaly Reports\</t>
  </si>
  <si>
    <t>TemplateName</t>
  </si>
  <si>
    <t>TemplatePath</t>
  </si>
  <si>
    <t>(Peer Review Approve or Reject)</t>
  </si>
  <si>
    <t>(Quality Engineering Approve or Reject)</t>
  </si>
  <si>
    <t>Suspect Part(s)
Ref Des</t>
  </si>
  <si>
    <t>Overstressed Part(s) 
Ref Des</t>
  </si>
  <si>
    <t>Req'd Fill in the Blank</t>
  </si>
  <si>
    <t>(Go to "Anomaly Owner" tab and Review)</t>
  </si>
  <si>
    <t>Stress Analysis:</t>
  </si>
  <si>
    <t>Add a Hyperlink to a new document if necessary:</t>
  </si>
  <si>
    <t>Click Here</t>
  </si>
  <si>
    <t>Standard 
Troubleshooting Guide</t>
  </si>
  <si>
    <t>FUTURE STATE GOALS</t>
  </si>
  <si>
    <t>Create Rework Traveler</t>
  </si>
  <si>
    <t>Open Rework Template</t>
  </si>
  <si>
    <t>Anomaly Report Template Rev_5.xlsm</t>
  </si>
  <si>
    <t>F.Kuhlman</t>
  </si>
  <si>
    <t>C.Crisler</t>
  </si>
  <si>
    <t>Anomaly Logs.xlsx</t>
  </si>
  <si>
    <t>Flying Probe</t>
  </si>
  <si>
    <t>DITMCO</t>
  </si>
  <si>
    <t>BLVT</t>
  </si>
  <si>
    <t>BHVT</t>
  </si>
  <si>
    <t>TLVT</t>
  </si>
  <si>
    <t>THVT</t>
  </si>
  <si>
    <t>1F67504-1</t>
  </si>
  <si>
    <t>1F67680-1</t>
  </si>
  <si>
    <t>1F67684-1</t>
  </si>
  <si>
    <t>CCUPS/PUA</t>
  </si>
  <si>
    <t>1F67680-501</t>
  </si>
  <si>
    <t>1F67684-501</t>
  </si>
  <si>
    <t>Kuhlman, Fred</t>
  </si>
  <si>
    <t>Katsetos, Chris</t>
  </si>
  <si>
    <t>Bob.Shreve@l-3com.com</t>
  </si>
  <si>
    <t>Frederick.kuhlmann@l-3com.com</t>
  </si>
  <si>
    <t>Crisler, Charles</t>
  </si>
  <si>
    <t>Charles.Crisler@l-3com.com</t>
  </si>
  <si>
    <t>McIntosh, Carl</t>
  </si>
  <si>
    <t>Carl.McIntosh@l-3com.com</t>
  </si>
  <si>
    <t>Schwallie, Anthony</t>
  </si>
  <si>
    <t>Anthony.Schwallie@l-3com.com</t>
  </si>
  <si>
    <t>Swain, David</t>
  </si>
  <si>
    <t>David.Swain@l-3com.com</t>
  </si>
  <si>
    <t>Motherboard</t>
  </si>
  <si>
    <t>1F67730</t>
  </si>
  <si>
    <t>PSPUA</t>
  </si>
  <si>
    <t>SSPB</t>
  </si>
  <si>
    <t>SSPA</t>
  </si>
  <si>
    <t>Date/Time Cleared</t>
  </si>
  <si>
    <t>Date/Time Closed</t>
  </si>
  <si>
    <t>Date/Time AR is Closed</t>
  </si>
  <si>
    <t>Investigation</t>
  </si>
  <si>
    <t>LRU #1</t>
  </si>
  <si>
    <t>LRU #2</t>
  </si>
  <si>
    <t>LRU #3</t>
  </si>
  <si>
    <t>LRU #4</t>
  </si>
  <si>
    <t>LRU #5</t>
  </si>
  <si>
    <t>Ambient</t>
  </si>
  <si>
    <t>Thermals</t>
  </si>
  <si>
    <t>Vibe</t>
  </si>
  <si>
    <t>Burn-in</t>
  </si>
  <si>
    <t>Zirkle, Erica</t>
  </si>
  <si>
    <t>Erica.Zirkle@l-3com.com</t>
  </si>
  <si>
    <t>Missing Part</t>
  </si>
  <si>
    <t>Optical</t>
  </si>
  <si>
    <t>Fende, John</t>
  </si>
  <si>
    <t>John.Fende@l-3com.com</t>
  </si>
  <si>
    <t>Thacker, Jim</t>
  </si>
  <si>
    <t>James.Thacker@l-3com.com</t>
  </si>
  <si>
    <t>Burns, Scott</t>
  </si>
  <si>
    <t>Scott.Burns@l-3com.com</t>
  </si>
  <si>
    <t>Edward.Riess@l-3com.com</t>
  </si>
  <si>
    <t>Michael.Rist@l-3com.com</t>
  </si>
  <si>
    <t>Bak, Andrew</t>
  </si>
  <si>
    <t>Andrew.Bak@l-3com.com</t>
  </si>
  <si>
    <t>Ed Murphy</t>
  </si>
  <si>
    <t>Edward.Murphy@l-3com.com</t>
  </si>
  <si>
    <t>Steven.Wolf@l-3com.com</t>
  </si>
  <si>
    <t>Wolf, Steve</t>
  </si>
  <si>
    <t>Bonding_RNI</t>
  </si>
  <si>
    <t>Manual Test</t>
  </si>
  <si>
    <t>Final Approval</t>
  </si>
  <si>
    <t>Form #6803</t>
  </si>
  <si>
    <t>David.Swain@L-3com.com; George.Lucas2@L-3com.com;Nick.Kramer@l-3com.com;Wayne.Foltz@l-3com.com;Erica.Zirkle@l-3com.com;Kevin.St.Clair@l-3com.com;john.kriner@l-3com.com</t>
  </si>
  <si>
    <t>Sweeney, Lorena</t>
  </si>
  <si>
    <t>Droege, Mike</t>
  </si>
  <si>
    <t>Petroff, Matt</t>
  </si>
  <si>
    <t>Carlos.Barrera@L-3com.com;Robert.Cavanagh@l-3com.com</t>
  </si>
  <si>
    <t>1F67670-501</t>
  </si>
  <si>
    <t>1F67674-501</t>
  </si>
  <si>
    <t>1F67650-501</t>
  </si>
  <si>
    <t>1F67654-501</t>
  </si>
  <si>
    <t>Controls Box Lvl</t>
  </si>
  <si>
    <t>joseph.p.wurst@ulalaunch.com</t>
  </si>
  <si>
    <t>_1553</t>
  </si>
  <si>
    <t>D. Gaines</t>
  </si>
  <si>
    <t>688886-402</t>
  </si>
  <si>
    <t>688886-403</t>
  </si>
  <si>
    <t>688886-404</t>
  </si>
  <si>
    <t>688886-405</t>
  </si>
  <si>
    <t>688878-401</t>
  </si>
  <si>
    <t>688878-402</t>
  </si>
  <si>
    <t>688884-401</t>
  </si>
  <si>
    <t>688884-403</t>
  </si>
  <si>
    <t>688884-404</t>
  </si>
  <si>
    <t>688730-401</t>
  </si>
  <si>
    <t>688834-401</t>
  </si>
  <si>
    <t>688632-401</t>
  </si>
  <si>
    <t>BCPDU_ACU</t>
  </si>
  <si>
    <t>BCPDU_ACU_HPUC</t>
  </si>
  <si>
    <t>RNI</t>
  </si>
  <si>
    <t>1F67500-503</t>
  </si>
  <si>
    <t>Yu, Calvin</t>
  </si>
  <si>
    <t>1F67500-1</t>
  </si>
  <si>
    <t>3.2.4.2</t>
  </si>
  <si>
    <t>During the ramp from hot of cycle #2 to cold of cycle #3, there was an anomaly with the thermal chamber.</t>
  </si>
  <si>
    <t>6:00am</t>
  </si>
  <si>
    <t>Swapped out Thermal Chamber and re-started test from the beginning of the 2nd cycle.  SN 0034 then successfully completed IAT 4 Thermal Cycle Burn-In.</t>
  </si>
  <si>
    <t>All input and output voltages remained nominal therefore there was no stress to SN 0034.</t>
  </si>
  <si>
    <t>It was discovered that the OCU Burn-In thermal chamber compressors were not running, therefore there was no cooling available to the thermal chamber.  The thermal chamber was swapped out so the test could be completed.</t>
  </si>
  <si>
    <t>Kevin St.Clair</t>
  </si>
  <si>
    <t>Carlos Barrera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</si>
</sst>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[$-409]h:mm\ AM/PM;@"/>
    <numFmt numFmtId="166" formatCode="0000"/>
    <numFmt numFmtId="167" formatCode="[$-409]m/d/yy\ h:mm\ AM/PM;@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0070C0"/>
      <name val="Calibri"/>
      <family val="2"/>
    </font>
    <font>
      <u/>
      <sz val="16"/>
      <color rgb="FF0070C0"/>
      <name val="Calibri"/>
      <family val="2"/>
    </font>
    <font>
      <u/>
      <sz val="14"/>
      <color rgb="FF0070C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0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0" xfId="0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1" fillId="2" borderId="1" xfId="0" applyFont="1" applyFill="1" applyBorder="1"/>
    <xf numFmtId="0" fontId="0" fillId="0" borderId="1" xfId="0" applyFont="1" applyFill="1" applyBorder="1"/>
    <xf numFmtId="0" fontId="0" fillId="0" borderId="0" xfId="0" applyFill="1"/>
    <xf numFmtId="0" fontId="0" fillId="0" borderId="1" xfId="0" applyFill="1" applyBorder="1"/>
    <xf numFmtId="0" fontId="2" fillId="0" borderId="1" xfId="1" applyFill="1" applyBorder="1" applyAlignment="1" applyProtection="1"/>
    <xf numFmtId="0" fontId="2" fillId="0" borderId="13" xfId="1" applyFill="1" applyBorder="1" applyAlignment="1" applyProtection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/>
    <xf numFmtId="0" fontId="4" fillId="0" borderId="5" xfId="0" applyFont="1" applyBorder="1" applyAlignment="1"/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0" borderId="3" xfId="0" applyFont="1" applyBorder="1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0" borderId="0" xfId="0" applyFill="1" applyBorder="1"/>
    <xf numFmtId="0" fontId="2" fillId="0" borderId="0" xfId="1" applyFont="1" applyFill="1" applyBorder="1" applyAlignment="1" applyProtection="1"/>
    <xf numFmtId="14" fontId="0" fillId="0" borderId="0" xfId="0" applyNumberFormat="1"/>
    <xf numFmtId="167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13" xfId="0" applyFill="1" applyBorder="1" applyAlignment="1">
      <alignment horizontal="left" vertical="center" wrapText="1"/>
    </xf>
    <xf numFmtId="0" fontId="0" fillId="8" borderId="1" xfId="0" applyFill="1" applyBorder="1"/>
    <xf numFmtId="0" fontId="0" fillId="8" borderId="12" xfId="0" applyFill="1" applyBorder="1"/>
    <xf numFmtId="0" fontId="0" fillId="8" borderId="1" xfId="0" applyFont="1" applyFill="1" applyBorder="1"/>
    <xf numFmtId="0" fontId="0" fillId="0" borderId="14" xfId="0" applyBorder="1"/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vertical="top" wrapText="1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5" fillId="0" borderId="0" xfId="0" applyFont="1" applyFill="1" applyBorder="1" applyAlignment="1">
      <alignment horizontal="left"/>
    </xf>
    <xf numFmtId="0" fontId="0" fillId="0" borderId="2" xfId="0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3" xfId="0" applyFill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0" fillId="0" borderId="9" xfId="0" applyFill="1" applyBorder="1" applyAlignment="1">
      <alignment vertical="top"/>
    </xf>
    <xf numFmtId="0" fontId="3" fillId="0" borderId="2" xfId="0" applyFont="1" applyBorder="1" applyAlignment="1"/>
    <xf numFmtId="166" fontId="3" fillId="0" borderId="3" xfId="0" applyNumberFormat="1" applyFont="1" applyBorder="1" applyAlignment="1"/>
    <xf numFmtId="0" fontId="0" fillId="0" borderId="0" xfId="0" applyBorder="1" applyAlignment="1"/>
    <xf numFmtId="164" fontId="4" fillId="0" borderId="0" xfId="0" applyNumberFormat="1" applyFont="1" applyBorder="1" applyAlignment="1"/>
    <xf numFmtId="0" fontId="4" fillId="0" borderId="0" xfId="0" applyNumberFormat="1" applyFont="1" applyBorder="1" applyAlignment="1"/>
    <xf numFmtId="0" fontId="7" fillId="0" borderId="0" xfId="0" applyFont="1" applyBorder="1"/>
    <xf numFmtId="0" fontId="0" fillId="0" borderId="0" xfId="0" applyBorder="1" applyAlignment="1">
      <alignment horizontal="center"/>
    </xf>
    <xf numFmtId="0" fontId="1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0" borderId="0" xfId="0" applyFont="1"/>
    <xf numFmtId="0" fontId="0" fillId="0" borderId="13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6" fillId="0" borderId="17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Border="1"/>
    <xf numFmtId="0" fontId="0" fillId="0" borderId="1" xfId="0" applyFill="1" applyBorder="1" applyAlignment="1">
      <alignment horizontal="right" vertical="top"/>
    </xf>
    <xf numFmtId="0" fontId="0" fillId="0" borderId="1" xfId="0" applyFill="1" applyBorder="1" applyAlignment="1">
      <alignment wrapText="1"/>
    </xf>
    <xf numFmtId="0" fontId="0" fillId="0" borderId="0" xfId="0" applyFont="1"/>
    <xf numFmtId="0" fontId="11" fillId="0" borderId="0" xfId="0" applyFont="1"/>
    <xf numFmtId="0" fontId="0" fillId="9" borderId="19" xfId="0" applyFill="1" applyBorder="1" applyAlignment="1">
      <alignment horizontal="right" vertical="top"/>
    </xf>
    <xf numFmtId="0" fontId="0" fillId="9" borderId="1" xfId="0" applyFill="1" applyBorder="1"/>
    <xf numFmtId="0" fontId="0" fillId="9" borderId="1" xfId="0" applyFill="1" applyBorder="1" applyAlignment="1">
      <alignment horizontal="right" vertical="top"/>
    </xf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/>
    <xf numFmtId="22" fontId="0" fillId="9" borderId="0" xfId="0" applyNumberFormat="1" applyFill="1" applyAlignment="1">
      <alignment horizontal="center"/>
    </xf>
    <xf numFmtId="0" fontId="0" fillId="9" borderId="0" xfId="0" applyFill="1" applyBorder="1" applyAlignment="1">
      <alignment wrapText="1"/>
    </xf>
    <xf numFmtId="0" fontId="0" fillId="9" borderId="0" xfId="0" applyFill="1" applyBorder="1"/>
    <xf numFmtId="0" fontId="0" fillId="9" borderId="0" xfId="0" applyFill="1" applyAlignment="1">
      <alignment horizontal="left"/>
    </xf>
    <xf numFmtId="0" fontId="2" fillId="9" borderId="0" xfId="1" applyFill="1" applyAlignment="1" applyProtection="1"/>
    <xf numFmtId="0" fontId="0" fillId="9" borderId="0" xfId="0" applyFill="1" applyBorder="1" applyAlignment="1">
      <alignment horizontal="left"/>
    </xf>
    <xf numFmtId="0" fontId="14" fillId="9" borderId="0" xfId="1" applyFont="1" applyFill="1" applyAlignment="1" applyProtection="1"/>
    <xf numFmtId="0" fontId="13" fillId="9" borderId="0" xfId="0" applyFont="1" applyFill="1" applyAlignment="1"/>
    <xf numFmtId="0" fontId="13" fillId="9" borderId="0" xfId="0" applyFont="1" applyFill="1"/>
    <xf numFmtId="0" fontId="2" fillId="9" borderId="0" xfId="1" applyFill="1" applyAlignment="1" applyProtection="1">
      <alignment horizontal="center"/>
    </xf>
    <xf numFmtId="0" fontId="4" fillId="9" borderId="0" xfId="0" applyFont="1" applyFill="1" applyBorder="1" applyAlignment="1"/>
    <xf numFmtId="164" fontId="4" fillId="9" borderId="0" xfId="0" applyNumberFormat="1" applyFont="1" applyFill="1" applyBorder="1" applyAlignment="1"/>
    <xf numFmtId="0" fontId="0" fillId="9" borderId="0" xfId="0" applyFill="1" applyBorder="1" applyAlignment="1"/>
    <xf numFmtId="0" fontId="0" fillId="9" borderId="0" xfId="0" applyFill="1" applyBorder="1" applyAlignment="1">
      <alignment vertical="top" wrapText="1"/>
    </xf>
    <xf numFmtId="166" fontId="4" fillId="9" borderId="0" xfId="0" applyNumberFormat="1" applyFont="1" applyFill="1" applyBorder="1" applyAlignment="1"/>
    <xf numFmtId="0" fontId="0" fillId="9" borderId="0" xfId="0" applyFill="1" applyBorder="1" applyAlignment="1">
      <alignment vertical="top"/>
    </xf>
    <xf numFmtId="0" fontId="14" fillId="9" borderId="0" xfId="1" applyFont="1" applyFill="1" applyAlignment="1" applyProtection="1">
      <alignment horizontal="center"/>
    </xf>
    <xf numFmtId="0" fontId="0" fillId="9" borderId="8" xfId="0" applyFill="1" applyBorder="1" applyAlignment="1">
      <alignment horizontal="center"/>
    </xf>
    <xf numFmtId="0" fontId="16" fillId="9" borderId="0" xfId="1" applyFont="1" applyFill="1" applyAlignment="1" applyProtection="1">
      <alignment horizontal="center"/>
    </xf>
    <xf numFmtId="0" fontId="0" fillId="8" borderId="0" xfId="0" applyFill="1" applyAlignment="1">
      <alignment wrapText="1"/>
    </xf>
    <xf numFmtId="0" fontId="5" fillId="0" borderId="1" xfId="0" applyFont="1" applyFill="1" applyBorder="1"/>
    <xf numFmtId="0" fontId="5" fillId="0" borderId="13" xfId="0" applyFont="1" applyFill="1" applyBorder="1"/>
    <xf numFmtId="0" fontId="0" fillId="0" borderId="12" xfId="0" applyFill="1" applyBorder="1" applyAlignment="1">
      <alignment horizontal="left"/>
    </xf>
    <xf numFmtId="0" fontId="0" fillId="0" borderId="11" xfId="0" applyFill="1" applyBorder="1" applyAlignment="1">
      <alignment horizontal="center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1" fillId="2" borderId="20" xfId="0" applyFont="1" applyFill="1" applyBorder="1"/>
    <xf numFmtId="0" fontId="5" fillId="0" borderId="13" xfId="0" applyFont="1" applyFill="1" applyBorder="1" applyAlignment="1">
      <alignment horizontal="center"/>
    </xf>
    <xf numFmtId="0" fontId="17" fillId="0" borderId="13" xfId="0" applyFont="1" applyFill="1" applyBorder="1" applyAlignment="1">
      <alignment horizontal="center"/>
    </xf>
    <xf numFmtId="0" fontId="5" fillId="0" borderId="18" xfId="0" applyFont="1" applyFill="1" applyBorder="1" applyAlignment="1">
      <alignment horizontal="center"/>
    </xf>
    <xf numFmtId="0" fontId="17" fillId="0" borderId="16" xfId="0" applyFont="1" applyFill="1" applyBorder="1" applyAlignment="1">
      <alignment horizontal="center"/>
    </xf>
    <xf numFmtId="0" fontId="5" fillId="0" borderId="0" xfId="0" applyFont="1" applyFill="1"/>
    <xf numFmtId="0" fontId="2" fillId="0" borderId="12" xfId="1" applyFill="1" applyBorder="1" applyAlignment="1" applyProtection="1">
      <alignment horizontal="left"/>
    </xf>
    <xf numFmtId="0" fontId="0" fillId="9" borderId="1" xfId="0" applyFill="1" applyBorder="1" applyAlignment="1">
      <alignment wrapText="1"/>
    </xf>
    <xf numFmtId="0" fontId="2" fillId="0" borderId="1" xfId="1" applyBorder="1" applyAlignment="1" applyProtection="1">
      <alignment wrapText="1"/>
    </xf>
    <xf numFmtId="0" fontId="0" fillId="0" borderId="0" xfId="0" applyFill="1" applyBorder="1" applyAlignment="1">
      <alignment horizontal="right" vertical="top"/>
    </xf>
    <xf numFmtId="0" fontId="5" fillId="0" borderId="0" xfId="0" applyFont="1" applyFill="1" applyAlignment="1">
      <alignment horizontal="left"/>
    </xf>
    <xf numFmtId="0" fontId="2" fillId="0" borderId="1" xfId="1" applyFill="1" applyBorder="1" applyAlignment="1" applyProtection="1">
      <alignment wrapText="1"/>
    </xf>
    <xf numFmtId="0" fontId="2" fillId="0" borderId="0" xfId="1" applyFill="1" applyBorder="1" applyAlignment="1" applyProtection="1"/>
    <xf numFmtId="0" fontId="0" fillId="0" borderId="0" xfId="0" applyFont="1" applyFill="1"/>
    <xf numFmtId="0" fontId="18" fillId="0" borderId="13" xfId="0" applyFont="1" applyFill="1" applyBorder="1"/>
    <xf numFmtId="0" fontId="0" fillId="0" borderId="0" xfId="0" applyFont="1" applyFill="1" applyAlignment="1">
      <alignment horizontal="left"/>
    </xf>
    <xf numFmtId="14" fontId="0" fillId="0" borderId="3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12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0" fillId="0" borderId="2" xfId="0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0" xfId="0" applyBorder="1" applyAlignment="1">
      <alignment horizontal="left"/>
    </xf>
    <xf numFmtId="166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66" fontId="3" fillId="0" borderId="3" xfId="0" applyNumberFormat="1" applyFont="1" applyBorder="1" applyAlignment="1">
      <alignment horizontal="left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165" fontId="4" fillId="0" borderId="1" xfId="0" applyNumberFormat="1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 wrapText="1"/>
    </xf>
    <xf numFmtId="0" fontId="15" fillId="0" borderId="0" xfId="1" applyFont="1" applyBorder="1" applyAlignment="1" applyProtection="1">
      <alignment horizontal="center" vertical="center" wrapText="1"/>
    </xf>
    <xf numFmtId="0" fontId="9" fillId="0" borderId="1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6" xfId="0" applyBorder="1" applyAlignment="1">
      <alignment horizontal="center" wrapText="1"/>
    </xf>
    <xf numFmtId="0" fontId="0" fillId="0" borderId="0" xfId="0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80"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rgb="FF000000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6</xdr:row>
      <xdr:rowOff>0</xdr:rowOff>
    </xdr:from>
    <xdr:to>
      <xdr:col>39</xdr:col>
      <xdr:colOff>0</xdr:colOff>
      <xdr:row>8</xdr:row>
      <xdr:rowOff>0</xdr:rowOff>
    </xdr:to>
    <xdr:sp macro="[0]!Reset" textlink="">
      <xdr:nvSpPr>
        <xdr:cNvPr id="2" name="Rectangle 1"/>
        <xdr:cNvSpPr/>
      </xdr:nvSpPr>
      <xdr:spPr>
        <a:xfrm>
          <a:off x="7762875" y="1057275"/>
          <a:ext cx="1600200" cy="38100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RESET ANOMALY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SHEET</a:t>
          </a:r>
        </a:p>
      </xdr:txBody>
    </xdr:sp>
    <xdr:clientData/>
  </xdr:twoCellAnchor>
  <xdr:twoCellAnchor>
    <xdr:from>
      <xdr:col>38</xdr:col>
      <xdr:colOff>20411</xdr:colOff>
      <xdr:row>8</xdr:row>
      <xdr:rowOff>186417</xdr:rowOff>
    </xdr:from>
    <xdr:to>
      <xdr:col>39</xdr:col>
      <xdr:colOff>20411</xdr:colOff>
      <xdr:row>12</xdr:row>
      <xdr:rowOff>54428</xdr:rowOff>
    </xdr:to>
    <xdr:sp macro="[0]!LogandEmail" textlink="">
      <xdr:nvSpPr>
        <xdr:cNvPr id="5" name="Rectangle 4"/>
        <xdr:cNvSpPr/>
      </xdr:nvSpPr>
      <xdr:spPr>
        <a:xfrm>
          <a:off x="7585982" y="1628774"/>
          <a:ext cx="1592036" cy="630011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 and Log</a:t>
          </a:r>
          <a:r>
            <a:rPr lang="en-US" sz="1100" baseline="0"/>
            <a:t> this Anomaly Report &amp; </a:t>
          </a:r>
        </a:p>
        <a:p>
          <a:pPr algn="ctr"/>
          <a:r>
            <a:rPr lang="en-US" sz="1100" baseline="0"/>
            <a:t>Send Email Notification</a:t>
          </a:r>
          <a:endParaRPr lang="en-US" sz="1100"/>
        </a:p>
      </xdr:txBody>
    </xdr:sp>
    <xdr:clientData/>
  </xdr:twoCellAnchor>
  <xdr:twoCellAnchor>
    <xdr:from>
      <xdr:col>37</xdr:col>
      <xdr:colOff>284389</xdr:colOff>
      <xdr:row>13</xdr:row>
      <xdr:rowOff>14968</xdr:rowOff>
    </xdr:from>
    <xdr:to>
      <xdr:col>39</xdr:col>
      <xdr:colOff>2721</xdr:colOff>
      <xdr:row>16</xdr:row>
      <xdr:rowOff>14968</xdr:rowOff>
    </xdr:to>
    <xdr:sp macro="[0]!OwnershipCheck" textlink="">
      <xdr:nvSpPr>
        <xdr:cNvPr id="7" name="Rectangle 6"/>
        <xdr:cNvSpPr/>
      </xdr:nvSpPr>
      <xdr:spPr>
        <a:xfrm>
          <a:off x="7564210" y="2409825"/>
          <a:ext cx="1596118" cy="5715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Take</a:t>
          </a:r>
          <a:r>
            <a:rPr lang="en-US" sz="1000" baseline="0"/>
            <a:t> Ownership of Anomaly and add to Database</a:t>
          </a:r>
          <a:endParaRPr lang="en-US" sz="1000"/>
        </a:p>
      </xdr:txBody>
    </xdr:sp>
    <xdr:clientData/>
  </xdr:twoCellAnchor>
  <xdr:twoCellAnchor>
    <xdr:from>
      <xdr:col>38</xdr:col>
      <xdr:colOff>1360</xdr:colOff>
      <xdr:row>17</xdr:row>
      <xdr:rowOff>31296</xdr:rowOff>
    </xdr:from>
    <xdr:to>
      <xdr:col>39</xdr:col>
      <xdr:colOff>1360</xdr:colOff>
      <xdr:row>20</xdr:row>
      <xdr:rowOff>31296</xdr:rowOff>
    </xdr:to>
    <xdr:sp macro="[0]!IssueCheck" textlink="">
      <xdr:nvSpPr>
        <xdr:cNvPr id="8" name="Rectangle 7"/>
        <xdr:cNvSpPr/>
      </xdr:nvSpPr>
      <xdr:spPr>
        <a:xfrm>
          <a:off x="7566931" y="3188153"/>
          <a:ext cx="1592036" cy="5715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Identify</a:t>
          </a:r>
          <a:r>
            <a:rPr lang="en-US" sz="1100" baseline="0"/>
            <a:t> Issue and add to Database</a:t>
          </a:r>
          <a:endParaRPr lang="en-US" sz="1100"/>
        </a:p>
      </xdr:txBody>
    </xdr:sp>
    <xdr:clientData/>
  </xdr:twoCellAnchor>
  <xdr:twoCellAnchor>
    <xdr:from>
      <xdr:col>38</xdr:col>
      <xdr:colOff>4082</xdr:colOff>
      <xdr:row>21</xdr:row>
      <xdr:rowOff>6804</xdr:rowOff>
    </xdr:from>
    <xdr:to>
      <xdr:col>39</xdr:col>
      <xdr:colOff>4082</xdr:colOff>
      <xdr:row>24</xdr:row>
      <xdr:rowOff>6804</xdr:rowOff>
    </xdr:to>
    <xdr:sp macro="[0]!TDRCheck" textlink="">
      <xdr:nvSpPr>
        <xdr:cNvPr id="9" name="Rectangle 8"/>
        <xdr:cNvSpPr/>
      </xdr:nvSpPr>
      <xdr:spPr>
        <a:xfrm>
          <a:off x="7569653" y="3925661"/>
          <a:ext cx="1592036" cy="5715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Log Entire AR to Database</a:t>
          </a:r>
        </a:p>
      </xdr:txBody>
    </xdr:sp>
    <xdr:clientData/>
  </xdr:twoCellAnchor>
  <xdr:twoCellAnchor>
    <xdr:from>
      <xdr:col>38</xdr:col>
      <xdr:colOff>121103</xdr:colOff>
      <xdr:row>29</xdr:row>
      <xdr:rowOff>13606</xdr:rowOff>
    </xdr:from>
    <xdr:to>
      <xdr:col>38</xdr:col>
      <xdr:colOff>734786</xdr:colOff>
      <xdr:row>31</xdr:row>
      <xdr:rowOff>178253</xdr:rowOff>
    </xdr:to>
    <xdr:sp macro="[0]!ApprovePR" textlink="">
      <xdr:nvSpPr>
        <xdr:cNvPr id="12" name="Rectangle 11"/>
        <xdr:cNvSpPr/>
      </xdr:nvSpPr>
      <xdr:spPr>
        <a:xfrm>
          <a:off x="7686674" y="5456463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Approve</a:t>
          </a:r>
        </a:p>
      </xdr:txBody>
    </xdr:sp>
    <xdr:clientData/>
  </xdr:twoCellAnchor>
  <xdr:twoCellAnchor>
    <xdr:from>
      <xdr:col>38</xdr:col>
      <xdr:colOff>817788</xdr:colOff>
      <xdr:row>29</xdr:row>
      <xdr:rowOff>16327</xdr:rowOff>
    </xdr:from>
    <xdr:to>
      <xdr:col>38</xdr:col>
      <xdr:colOff>1431471</xdr:colOff>
      <xdr:row>31</xdr:row>
      <xdr:rowOff>180974</xdr:rowOff>
    </xdr:to>
    <xdr:sp macro="[0]!RejectPR" textlink="">
      <xdr:nvSpPr>
        <xdr:cNvPr id="13" name="Rectangle 12"/>
        <xdr:cNvSpPr/>
      </xdr:nvSpPr>
      <xdr:spPr>
        <a:xfrm>
          <a:off x="8383359" y="5459184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Reject</a:t>
          </a:r>
        </a:p>
      </xdr:txBody>
    </xdr:sp>
    <xdr:clientData/>
  </xdr:twoCellAnchor>
  <xdr:twoCellAnchor>
    <xdr:from>
      <xdr:col>38</xdr:col>
      <xdr:colOff>123824</xdr:colOff>
      <xdr:row>33</xdr:row>
      <xdr:rowOff>2720</xdr:rowOff>
    </xdr:from>
    <xdr:to>
      <xdr:col>38</xdr:col>
      <xdr:colOff>737507</xdr:colOff>
      <xdr:row>35</xdr:row>
      <xdr:rowOff>167367</xdr:rowOff>
    </xdr:to>
    <xdr:sp macro="[0]!ApproveQE" textlink="">
      <xdr:nvSpPr>
        <xdr:cNvPr id="14" name="Rectangle 13"/>
        <xdr:cNvSpPr/>
      </xdr:nvSpPr>
      <xdr:spPr>
        <a:xfrm>
          <a:off x="7689395" y="6207577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Approve</a:t>
          </a:r>
        </a:p>
      </xdr:txBody>
    </xdr:sp>
    <xdr:clientData/>
  </xdr:twoCellAnchor>
  <xdr:twoCellAnchor>
    <xdr:from>
      <xdr:col>38</xdr:col>
      <xdr:colOff>820509</xdr:colOff>
      <xdr:row>33</xdr:row>
      <xdr:rowOff>5441</xdr:rowOff>
    </xdr:from>
    <xdr:to>
      <xdr:col>38</xdr:col>
      <xdr:colOff>1434192</xdr:colOff>
      <xdr:row>35</xdr:row>
      <xdr:rowOff>170088</xdr:rowOff>
    </xdr:to>
    <xdr:sp macro="[0]!RejectQE" textlink="">
      <xdr:nvSpPr>
        <xdr:cNvPr id="15" name="Rectangle 14"/>
        <xdr:cNvSpPr/>
      </xdr:nvSpPr>
      <xdr:spPr>
        <a:xfrm>
          <a:off x="8386080" y="6210298"/>
          <a:ext cx="613683" cy="545647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Reject</a:t>
          </a:r>
        </a:p>
      </xdr:txBody>
    </xdr:sp>
    <xdr:clientData/>
  </xdr:twoCellAnchor>
  <xdr:twoCellAnchor>
    <xdr:from>
      <xdr:col>37</xdr:col>
      <xdr:colOff>254453</xdr:colOff>
      <xdr:row>24</xdr:row>
      <xdr:rowOff>182336</xdr:rowOff>
    </xdr:from>
    <xdr:to>
      <xdr:col>38</xdr:col>
      <xdr:colOff>1473653</xdr:colOff>
      <xdr:row>27</xdr:row>
      <xdr:rowOff>182336</xdr:rowOff>
    </xdr:to>
    <xdr:sp macro="[0]!PeerReview" textlink="">
      <xdr:nvSpPr>
        <xdr:cNvPr id="16" name="Rectangle 15"/>
        <xdr:cNvSpPr/>
      </xdr:nvSpPr>
      <xdr:spPr>
        <a:xfrm>
          <a:off x="7055303" y="4668611"/>
          <a:ext cx="1485900" cy="571500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Send out for </a:t>
          </a:r>
        </a:p>
        <a:p>
          <a:pPr algn="ctr"/>
          <a:r>
            <a:rPr lang="en-US" sz="1100" baseline="0"/>
            <a:t>Peer Review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272143</xdr:colOff>
      <xdr:row>10</xdr:row>
      <xdr:rowOff>40822</xdr:rowOff>
    </xdr:from>
    <xdr:to>
      <xdr:col>38</xdr:col>
      <xdr:colOff>1472293</xdr:colOff>
      <xdr:row>13</xdr:row>
      <xdr:rowOff>122464</xdr:rowOff>
    </xdr:to>
    <xdr:sp macro="[0]!AnomOwnerDatabase" textlink="">
      <xdr:nvSpPr>
        <xdr:cNvPr id="4" name="Rectangle 3"/>
        <xdr:cNvSpPr/>
      </xdr:nvSpPr>
      <xdr:spPr>
        <a:xfrm>
          <a:off x="7551964" y="1864179"/>
          <a:ext cx="1485900" cy="653142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Commit This information to the Database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16</xdr:row>
          <xdr:rowOff>133350</xdr:rowOff>
        </xdr:from>
        <xdr:to>
          <xdr:col>5</xdr:col>
          <xdr:colOff>142875</xdr:colOff>
          <xdr:row>18</xdr:row>
          <xdr:rowOff>47625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18</xdr:row>
          <xdr:rowOff>152400</xdr:rowOff>
        </xdr:from>
        <xdr:to>
          <xdr:col>5</xdr:col>
          <xdr:colOff>142875</xdr:colOff>
          <xdr:row>20</xdr:row>
          <xdr:rowOff>66675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20</xdr:row>
          <xdr:rowOff>152400</xdr:rowOff>
        </xdr:from>
        <xdr:to>
          <xdr:col>5</xdr:col>
          <xdr:colOff>142875</xdr:colOff>
          <xdr:row>22</xdr:row>
          <xdr:rowOff>66675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22</xdr:row>
          <xdr:rowOff>142875</xdr:rowOff>
        </xdr:from>
        <xdr:to>
          <xdr:col>5</xdr:col>
          <xdr:colOff>142875</xdr:colOff>
          <xdr:row>24</xdr:row>
          <xdr:rowOff>57150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24</xdr:row>
          <xdr:rowOff>152400</xdr:rowOff>
        </xdr:from>
        <xdr:to>
          <xdr:col>5</xdr:col>
          <xdr:colOff>142875</xdr:colOff>
          <xdr:row>26</xdr:row>
          <xdr:rowOff>66675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28</xdr:row>
          <xdr:rowOff>123825</xdr:rowOff>
        </xdr:from>
        <xdr:to>
          <xdr:col>5</xdr:col>
          <xdr:colOff>142875</xdr:colOff>
          <xdr:row>30</xdr:row>
          <xdr:rowOff>38100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29</xdr:row>
          <xdr:rowOff>133350</xdr:rowOff>
        </xdr:from>
        <xdr:to>
          <xdr:col>5</xdr:col>
          <xdr:colOff>142875</xdr:colOff>
          <xdr:row>31</xdr:row>
          <xdr:rowOff>47625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12</xdr:row>
          <xdr:rowOff>152400</xdr:rowOff>
        </xdr:from>
        <xdr:to>
          <xdr:col>5</xdr:col>
          <xdr:colOff>142875</xdr:colOff>
          <xdr:row>14</xdr:row>
          <xdr:rowOff>66675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13</xdr:row>
          <xdr:rowOff>152400</xdr:rowOff>
        </xdr:from>
        <xdr:to>
          <xdr:col>5</xdr:col>
          <xdr:colOff>142875</xdr:colOff>
          <xdr:row>15</xdr:row>
          <xdr:rowOff>66675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133350</xdr:rowOff>
        </xdr:from>
        <xdr:to>
          <xdr:col>5</xdr:col>
          <xdr:colOff>142875</xdr:colOff>
          <xdr:row>16</xdr:row>
          <xdr:rowOff>47625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6</xdr:row>
          <xdr:rowOff>152400</xdr:rowOff>
        </xdr:from>
        <xdr:to>
          <xdr:col>5</xdr:col>
          <xdr:colOff>142875</xdr:colOff>
          <xdr:row>8</xdr:row>
          <xdr:rowOff>66675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8</xdr:row>
          <xdr:rowOff>133350</xdr:rowOff>
        </xdr:from>
        <xdr:to>
          <xdr:col>5</xdr:col>
          <xdr:colOff>142875</xdr:colOff>
          <xdr:row>10</xdr:row>
          <xdr:rowOff>47625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7</xdr:row>
          <xdr:rowOff>133350</xdr:rowOff>
        </xdr:from>
        <xdr:to>
          <xdr:col>5</xdr:col>
          <xdr:colOff>142875</xdr:colOff>
          <xdr:row>9</xdr:row>
          <xdr:rowOff>47625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CU_Table" displayName="CCU_Table" ref="F4:I29" totalsRowShown="0" headerRowBorderDxfId="150" tableBorderDxfId="149" totalsRowBorderDxfId="148">
  <autoFilter ref="F4:I29">
    <filterColumn colId="0" hiddenButton="1"/>
    <filterColumn colId="1" hiddenButton="1"/>
    <filterColumn colId="2" hiddenButton="1"/>
    <filterColumn colId="3" hiddenButton="1"/>
  </autoFilter>
  <tableColumns count="4">
    <tableColumn id="1" name="CCU" dataDxfId="147"/>
    <tableColumn id="2" name="Unique Lookup" dataDxfId="146"/>
    <tableColumn id="3" name="Module PN2" dataDxfId="145"/>
    <tableColumn id="4" name="TRD PN" dataDxfId="14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OCU_Table" displayName="OCU_Table" ref="F56:I60" totalsRowShown="0">
  <autoFilter ref="F56:I60">
    <filterColumn colId="0" hiddenButton="1"/>
    <filterColumn colId="1" hiddenButton="1"/>
    <filterColumn colId="2" hiddenButton="1"/>
    <filterColumn colId="3" hiddenButton="1"/>
  </autoFilter>
  <tableColumns count="4">
    <tableColumn id="1" name="OCU" dataDxfId="143"/>
    <tableColumn id="2" name="Unique Lookup" dataDxfId="142"/>
    <tableColumn id="3" name="Module PN2" dataDxfId="141"/>
    <tableColumn id="4" name="TRD PN" dataDxfId="14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FSAB_A_Table" displayName="FSAB_A_Table" ref="F62:I66" totalsRowShown="0" dataDxfId="139">
  <autoFilter ref="F62:I66">
    <filterColumn colId="0" hiddenButton="1"/>
    <filterColumn colId="1" hiddenButton="1"/>
    <filterColumn colId="2" hiddenButton="1"/>
    <filterColumn colId="3" hiddenButton="1"/>
  </autoFilter>
  <tableColumns count="4">
    <tableColumn id="1" name="FSAB_A" dataDxfId="138"/>
    <tableColumn id="2" name="Unique Lookup" dataDxfId="137"/>
    <tableColumn id="3" name="Module PN2" dataDxfId="136"/>
    <tableColumn id="4" name="TRD PN" dataDxfId="1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FSAB_D_Table" displayName="FSAB_D_Table" ref="F68:I74" totalsRowShown="0" dataDxfId="134">
  <autoFilter ref="F68:I74">
    <filterColumn colId="0" hiddenButton="1"/>
    <filterColumn colId="1" hiddenButton="1"/>
    <filterColumn colId="2" hiddenButton="1"/>
  </autoFilter>
  <tableColumns count="4">
    <tableColumn id="1" name="FSAB_D" dataDxfId="133"/>
    <tableColumn id="2" name="Unique Lookup" dataDxfId="132"/>
    <tableColumn id="3" name="Module PN2" dataDxfId="131"/>
    <tableColumn id="4" name="TRD PN" dataDxfId="1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7" name="Tech_Table" displayName="Tech_Table" ref="L4:L21" totalsRowShown="0">
  <autoFilter ref="L4:L21">
    <filterColumn colId="0" hiddenButton="1"/>
  </autoFilter>
  <tableColumns count="1">
    <tableColumn id="1" name="Test Technician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18" name="Table18" displayName="Table18" ref="N4:N5" totalsRowShown="0" headerRowBorderDxfId="129" tableBorderDxfId="128" totalsRowBorderDxfId="127">
  <autoFilter ref="N4:N5">
    <filterColumn colId="0" hiddenButton="1"/>
  </autoFilter>
  <tableColumns count="1">
    <tableColumn id="1" name="Please_Select" dataDxfId="12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9" name="Test_Des_Table" displayName="Test_Des_Table" ref="P4:P17" totalsRowShown="0" dataDxfId="125" tableBorderDxfId="124">
  <autoFilter ref="P4:P17">
    <filterColumn colId="0" hiddenButton="1"/>
  </autoFilter>
  <tableColumns count="1">
    <tableColumn id="1" name="Test_Description" dataDxfId="123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20" name="Test_Pos_Table" displayName="Test_Pos_Table" ref="R4:R11" totalsRowShown="0" dataDxfId="122" tableBorderDxfId="121">
  <autoFilter ref="R4:R11">
    <filterColumn colId="0" hiddenButton="1"/>
  </autoFilter>
  <tableColumns count="1">
    <tableColumn id="1" name="ControlsTest_Rack" dataDxfId="120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8" name="Table8" displayName="Table8" ref="V4:V14" totalsRowShown="0" headerRowDxfId="119" dataDxfId="118" tableBorderDxfId="117">
  <autoFilter ref="V4:V14">
    <filterColumn colId="0" hiddenButton="1"/>
  </autoFilter>
  <tableColumns count="1">
    <tableColumn id="1" name="Top_Level" dataDxfId="11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X4:X8" totalsRowShown="0" headerRowDxfId="115" headerRowBorderDxfId="114" tableBorderDxfId="113" totalsRowBorderDxfId="112">
  <autoFilter ref="X4:X8"/>
  <tableColumns count="1">
    <tableColumn id="1" name="Type_of_Issue" dataDxfId="111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0" name="Table10" displayName="Table10" ref="Z4:Z37" totalsRowShown="0" dataDxfId="110">
  <autoFilter ref="Z4:Z37"/>
  <sortState ref="Z3:Z29">
    <sortCondition ref="Z2:Z29"/>
  </sortState>
  <tableColumns count="1">
    <tableColumn id="1" name="Anomaly_Owner" dataDxfId="109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1" name="Table11" displayName="Table11" ref="AB4:AB21" totalsRowShown="0">
  <autoFilter ref="AB4:AB21"/>
  <tableColumns count="1">
    <tableColumn id="1" name="Direct_Cause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id="1" name="Table1" displayName="Table1" ref="B4:B7" totalsRowShown="0">
  <autoFilter ref="B4:B7">
    <filterColumn colId="0" hiddenButton="1"/>
  </autoFilter>
  <tableColumns count="1">
    <tableColumn id="1" name="Program Names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6" name="Table6" displayName="Table6" ref="D4:D9" totalsRowShown="0">
  <autoFilter ref="D4:D9">
    <filterColumn colId="0" hiddenButton="1"/>
  </autoFilter>
  <tableColumns count="1">
    <tableColumn id="1" name="Controls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id="13" name="Test_Pos_Table14" displayName="Test_Pos_Table14" ref="T4:T15" totalsRowShown="0" dataDxfId="108" tableBorderDxfId="107">
  <autoFilter ref="T4:T15"/>
  <tableColumns count="1">
    <tableColumn id="1" name="ATKTest_Rack" dataDxfId="106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id="21" name="Table21" displayName="Table21" ref="F3:AE8" totalsRowShown="0" headerRowDxfId="52" dataDxfId="51">
  <autoFilter ref="F3:AE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name="ATK" dataDxfId="50"/>
    <tableColumn id="2" name="SRM" dataDxfId="49"/>
    <tableColumn id="3" name="BPIM" dataDxfId="48"/>
    <tableColumn id="4" name="PIMCTRL" dataDxfId="47"/>
    <tableColumn id="5" name="PIMHC" dataDxfId="46"/>
    <tableColumn id="6" name="CFP" dataDxfId="45"/>
    <tableColumn id="7" name="CRP" dataDxfId="44"/>
    <tableColumn id="8" name="HKPS" dataDxfId="43"/>
    <tableColumn id="9" name="HKPSC" dataDxfId="42"/>
    <tableColumn id="10" name="HKPSP" dataDxfId="41"/>
    <tableColumn id="11" name="PSM" dataDxfId="40"/>
    <tableColumn id="12" name="DAS" dataDxfId="39"/>
    <tableColumn id="13" name="TVC/DIM" dataDxfId="38"/>
    <tableColumn id="14" name="EOM" dataDxfId="37"/>
    <tableColumn id="15" name="_1553" dataDxfId="36"/>
    <tableColumn id="16" name="CMF" dataDxfId="35"/>
    <tableColumn id="17" name="HPIM" dataDxfId="34"/>
    <tableColumn id="18" name="HCPS" dataDxfId="33"/>
    <tableColumn id="19" name="HCM" dataDxfId="32"/>
    <tableColumn id="20" name="IPIM" dataDxfId="31"/>
    <tableColumn id="21" name="CPIM" dataDxfId="30"/>
    <tableColumn id="22" name="IRIM" dataDxfId="29"/>
    <tableColumn id="23" name="IFCM" dataDxfId="28"/>
    <tableColumn id="24" name="IFCM2" dataDxfId="27"/>
    <tableColumn id="25" name="APIM" dataDxfId="26"/>
    <tableColumn id="26" name="CCC" dataDxfId="25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22" name="ATK_Table" displayName="ATK_Table" ref="F10:K40" totalsRowShown="0" dataDxfId="24" tableBorderDxfId="23">
  <autoFilter ref="F10:K40"/>
  <tableColumns count="6">
    <tableColumn id="1" name="ATK" dataDxfId="22"/>
    <tableColumn id="2" name="BCPDU PNs" dataDxfId="21"/>
    <tableColumn id="3" name="HPUC PNs" dataDxfId="20"/>
    <tableColumn id="4" name="ISC PNs" dataDxfId="19"/>
    <tableColumn id="5" name="ACU PNs" dataDxfId="18"/>
    <tableColumn id="6" name="TRD/TP" dataDxfId="17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id="12" name="Table12" displayName="Table12" ref="B3:D55" totalsRowShown="0" headerRowDxfId="16" dataDxfId="15">
  <autoFilter ref="B3:D55">
    <filterColumn colId="0" hiddenButton="1"/>
    <filterColumn colId="1" hiddenButton="1"/>
    <filterColumn colId="2" hiddenButton="1"/>
  </autoFilter>
  <tableColumns count="3">
    <tableColumn id="1" name="Assy" dataDxfId="14"/>
    <tableColumn id="2" name="Assy Num" dataDxfId="13"/>
    <tableColumn id="3" name="Box Level" dataDxfId="12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Contact_Table" displayName="Contact_Table" ref="B2:I41" totalsRowShown="0" dataDxfId="9" tableBorderDxfId="8">
  <autoFilter ref="B2:I4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Name" dataDxfId="7"/>
    <tableColumn id="2" name="To" dataDxfId="6"/>
    <tableColumn id="3" name="cc" dataDxfId="5"/>
    <tableColumn id="5" name="CCU" dataDxfId="4"/>
    <tableColumn id="6" name="OCU" dataDxfId="3"/>
    <tableColumn id="7" name="FSAB-A" dataDxfId="2"/>
    <tableColumn id="8" name="FSAB-D" dataDxfId="1"/>
    <tableColumn id="4" name="Email" dataDxfId="0" dataCellStyle="Hyperlink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CCU/TDR%204865%20Template%20.doc" TargetMode="External"/><Relationship Id="rId2" Type="http://schemas.openxmlformats.org/officeDocument/2006/relationships/hyperlink" Target="http://home/sites/Engineering/Lists/Test%20Set%20Status%20Tom%20Rayl/Controls%20SubAssy.aspx" TargetMode="External"/><Relationship Id="rId1" Type="http://schemas.openxmlformats.org/officeDocument/2006/relationships/hyperlink" Target="http://home/sites/Engineering/Lists/Test%20Set%20Status%20Tom%20Rayl/Controls.aspx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../../../../../Manufacturing%20Rework%20Travelers/TDR%20Rework%20Traveler%20TEMPLATE.xls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Carl.McIntosh@l-3com.com" TargetMode="External"/><Relationship Id="rId13" Type="http://schemas.openxmlformats.org/officeDocument/2006/relationships/hyperlink" Target="mailto:James.Thacker@l-3com.com" TargetMode="External"/><Relationship Id="rId18" Type="http://schemas.openxmlformats.org/officeDocument/2006/relationships/hyperlink" Target="mailto:Edward.Murphy@l-3com.com" TargetMode="External"/><Relationship Id="rId3" Type="http://schemas.openxmlformats.org/officeDocument/2006/relationships/hyperlink" Target="mailto:Carlos.Barrera@L-3com.com;Robert.Cavanagh@l-3com.com" TargetMode="External"/><Relationship Id="rId21" Type="http://schemas.openxmlformats.org/officeDocument/2006/relationships/table" Target="../tables/table19.xml"/><Relationship Id="rId7" Type="http://schemas.openxmlformats.org/officeDocument/2006/relationships/hyperlink" Target="mailto:Charles.Crisler@l-3com.com" TargetMode="External"/><Relationship Id="rId12" Type="http://schemas.openxmlformats.org/officeDocument/2006/relationships/hyperlink" Target="mailto:John.Fende@l-3com.com" TargetMode="External"/><Relationship Id="rId17" Type="http://schemas.openxmlformats.org/officeDocument/2006/relationships/hyperlink" Target="mailto:Andrew.Bak@l-3com.com" TargetMode="External"/><Relationship Id="rId2" Type="http://schemas.openxmlformats.org/officeDocument/2006/relationships/hyperlink" Target="mailto:George.Lucas2@L-3com.com" TargetMode="External"/><Relationship Id="rId16" Type="http://schemas.openxmlformats.org/officeDocument/2006/relationships/hyperlink" Target="mailto:Michael.Rist@l-3com.com" TargetMode="External"/><Relationship Id="rId20" Type="http://schemas.openxmlformats.org/officeDocument/2006/relationships/hyperlink" Target="mailto:joseph.p.wurst@ulalaunch.com" TargetMode="External"/><Relationship Id="rId1" Type="http://schemas.openxmlformats.org/officeDocument/2006/relationships/hyperlink" Target="mailto:David.Swain@L-3com.com;" TargetMode="External"/><Relationship Id="rId6" Type="http://schemas.openxmlformats.org/officeDocument/2006/relationships/hyperlink" Target="mailto:Frederick.kuhlmann@l-3com.com" TargetMode="External"/><Relationship Id="rId11" Type="http://schemas.openxmlformats.org/officeDocument/2006/relationships/hyperlink" Target="mailto:Erica.Zirkle@l-3com.com" TargetMode="External"/><Relationship Id="rId5" Type="http://schemas.openxmlformats.org/officeDocument/2006/relationships/hyperlink" Target="mailto:Bob.Shreve@l-3com.com" TargetMode="External"/><Relationship Id="rId15" Type="http://schemas.openxmlformats.org/officeDocument/2006/relationships/hyperlink" Target="mailto:Edward.Riess@l-3com.com" TargetMode="External"/><Relationship Id="rId10" Type="http://schemas.openxmlformats.org/officeDocument/2006/relationships/hyperlink" Target="mailto:David.Swain@l-3com.com" TargetMode="External"/><Relationship Id="rId19" Type="http://schemas.openxmlformats.org/officeDocument/2006/relationships/hyperlink" Target="mailto:Steven.Wolf@l-3com.com" TargetMode="External"/><Relationship Id="rId4" Type="http://schemas.openxmlformats.org/officeDocument/2006/relationships/hyperlink" Target="mailto:Chris.Katsetos@L-3Com.com" TargetMode="External"/><Relationship Id="rId9" Type="http://schemas.openxmlformats.org/officeDocument/2006/relationships/hyperlink" Target="mailto:Anthony.Schwallie@l-3com.com" TargetMode="External"/><Relationship Id="rId14" Type="http://schemas.openxmlformats.org/officeDocument/2006/relationships/hyperlink" Target="mailto:Scott.Burns@l-3co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48"/>
  <sheetViews>
    <sheetView tabSelected="1" showRuler="0" showWhiteSpace="0" topLeftCell="A13" zoomScaleNormal="100" zoomScalePageLayoutView="85" workbookViewId="0">
      <selection activeCell="K3" sqref="K3:Q3"/>
    </sheetView>
  </sheetViews>
  <sheetFormatPr defaultRowHeight="15" x14ac:dyDescent="0.25"/>
  <cols>
    <col min="1" max="1" width="1.42578125" style="89" customWidth="1"/>
    <col min="2" max="21" width="2.85546875" style="89" customWidth="1"/>
    <col min="22" max="22" width="2" style="89" bestFit="1" customWidth="1"/>
    <col min="23" max="31" width="2.85546875" style="89" customWidth="1"/>
    <col min="32" max="36" width="2.7109375" style="89" customWidth="1"/>
    <col min="37" max="37" width="1.28515625" style="89" customWidth="1"/>
    <col min="38" max="38" width="4" style="89" customWidth="1"/>
    <col min="39" max="39" width="22.28515625" style="90" bestFit="1" customWidth="1"/>
    <col min="40" max="40" width="3" style="89" customWidth="1"/>
    <col min="41" max="41" width="69.85546875" style="89" bestFit="1" customWidth="1"/>
    <col min="42" max="42" width="6" style="89" bestFit="1" customWidth="1"/>
    <col min="43" max="150" width="3" style="89" customWidth="1"/>
    <col min="151" max="16378" width="9.140625" style="89"/>
    <col min="16379" max="16379" width="9.140625" style="89" customWidth="1"/>
    <col min="16380" max="16384" width="9.140625" style="89"/>
  </cols>
  <sheetData>
    <row r="1" spans="1:72" ht="7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pans="1:72" ht="15.75" x14ac:dyDescent="0.25">
      <c r="A2"/>
      <c r="B2" s="157" t="str">
        <f>"AR-" &amp;IF(K5="Please_Select", "",K5) &amp;"-"</f>
        <v>AR-Controls-</v>
      </c>
      <c r="C2" s="158"/>
      <c r="D2" s="158"/>
      <c r="E2" s="158"/>
      <c r="F2" s="156">
        <v>136</v>
      </c>
      <c r="G2" s="156"/>
      <c r="H2" s="2"/>
      <c r="I2" s="2"/>
      <c r="J2" s="2"/>
      <c r="K2" s="2"/>
      <c r="L2" s="29"/>
      <c r="M2" s="29"/>
      <c r="N2" s="29"/>
      <c r="O2" s="29"/>
      <c r="P2" s="29"/>
      <c r="Q2" s="29"/>
      <c r="R2" s="29"/>
      <c r="S2" s="2"/>
      <c r="T2" s="2"/>
      <c r="U2" s="29"/>
      <c r="V2" s="2"/>
      <c r="W2" s="2"/>
      <c r="X2" s="2"/>
      <c r="Y2" s="2"/>
      <c r="Z2" s="2"/>
      <c r="AA2" s="2"/>
      <c r="AB2" s="162" t="s">
        <v>467</v>
      </c>
      <c r="AC2" s="162"/>
      <c r="AD2" s="162"/>
      <c r="AE2" s="162"/>
      <c r="AF2" s="162"/>
      <c r="AG2" s="162"/>
      <c r="AH2" s="2"/>
      <c r="AI2" s="2"/>
      <c r="AJ2" s="3"/>
      <c r="AK2"/>
      <c r="AN2" s="94"/>
      <c r="AO2" s="94"/>
      <c r="AP2" s="94"/>
      <c r="AQ2" s="94"/>
      <c r="AR2" s="94"/>
      <c r="AS2" s="94"/>
      <c r="AT2" s="94"/>
      <c r="AU2" s="94"/>
      <c r="AV2" s="94"/>
      <c r="AW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</row>
    <row r="3" spans="1:72" ht="15" customHeight="1" x14ac:dyDescent="0.25">
      <c r="A3"/>
      <c r="B3" s="25"/>
      <c r="C3" s="139" t="s">
        <v>61</v>
      </c>
      <c r="D3" s="139"/>
      <c r="E3" s="139"/>
      <c r="F3" s="139"/>
      <c r="G3" s="139"/>
      <c r="H3" s="139"/>
      <c r="I3" s="139"/>
      <c r="J3" s="140"/>
      <c r="K3" s="160" t="s">
        <v>81</v>
      </c>
      <c r="L3" s="160"/>
      <c r="M3" s="160"/>
      <c r="N3" s="160"/>
      <c r="O3" s="160"/>
      <c r="P3" s="160"/>
      <c r="Q3" s="160"/>
      <c r="R3" s="5"/>
      <c r="S3" s="5"/>
      <c r="T3" s="5"/>
      <c r="U3" s="5"/>
      <c r="V3" s="5"/>
      <c r="W3" s="5"/>
      <c r="X3" s="139" t="s">
        <v>55</v>
      </c>
      <c r="Y3" s="139"/>
      <c r="Z3" s="139"/>
      <c r="AA3" s="140"/>
      <c r="AB3" s="161">
        <v>42656</v>
      </c>
      <c r="AC3" s="161"/>
      <c r="AD3" s="161"/>
      <c r="AE3" s="161"/>
      <c r="AF3" s="161"/>
      <c r="AG3" s="161"/>
      <c r="AH3" s="5"/>
      <c r="AI3" s="5"/>
      <c r="AJ3" s="6"/>
      <c r="AK3"/>
      <c r="AM3" s="26" t="s">
        <v>57</v>
      </c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5"/>
      <c r="AY3" s="95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R3" s="91"/>
      <c r="BS3" s="96"/>
      <c r="BT3" s="92"/>
    </row>
    <row r="4" spans="1:72" ht="15" customHeight="1" x14ac:dyDescent="0.25">
      <c r="A4"/>
      <c r="B4" s="25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139" t="s">
        <v>56</v>
      </c>
      <c r="Y4" s="139"/>
      <c r="Z4" s="139"/>
      <c r="AA4" s="140"/>
      <c r="AB4" s="159" t="s">
        <v>501</v>
      </c>
      <c r="AC4" s="159"/>
      <c r="AD4" s="159"/>
      <c r="AE4" s="159"/>
      <c r="AF4" s="159"/>
      <c r="AG4" s="159"/>
      <c r="AH4" s="5"/>
      <c r="AI4" s="5"/>
      <c r="AJ4" s="6"/>
      <c r="AK4"/>
      <c r="AM4" s="27" t="s">
        <v>391</v>
      </c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5"/>
      <c r="AY4" s="95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</row>
    <row r="5" spans="1:72" x14ac:dyDescent="0.25">
      <c r="A5"/>
      <c r="B5" s="23"/>
      <c r="C5" s="22"/>
      <c r="D5" s="22"/>
      <c r="E5" s="139" t="s">
        <v>222</v>
      </c>
      <c r="F5" s="139"/>
      <c r="G5" s="139"/>
      <c r="H5" s="139"/>
      <c r="I5" s="139"/>
      <c r="J5" s="140"/>
      <c r="K5" s="141" t="s">
        <v>243</v>
      </c>
      <c r="L5" s="142"/>
      <c r="M5" s="142"/>
      <c r="N5" s="142"/>
      <c r="O5" s="142"/>
      <c r="P5" s="142"/>
      <c r="Q5" s="143"/>
      <c r="R5" s="68">
        <v>1</v>
      </c>
      <c r="S5" s="5"/>
      <c r="T5" s="22"/>
      <c r="U5" s="22"/>
      <c r="V5" s="22"/>
      <c r="W5" s="22"/>
      <c r="X5" s="22"/>
      <c r="Y5" s="22"/>
      <c r="Z5" s="5"/>
      <c r="AA5" s="5"/>
      <c r="AB5" s="5"/>
      <c r="AC5" s="5"/>
      <c r="AD5" s="5"/>
      <c r="AE5" s="5"/>
      <c r="AF5" s="5"/>
      <c r="AG5" s="5"/>
      <c r="AH5" s="5"/>
      <c r="AI5" s="5"/>
      <c r="AJ5" s="6"/>
      <c r="AK5"/>
      <c r="AM5" s="89"/>
      <c r="AN5" s="95"/>
      <c r="AO5" s="95"/>
      <c r="AP5" s="94"/>
      <c r="AQ5" s="94"/>
      <c r="AR5" s="94"/>
      <c r="AS5" s="94"/>
      <c r="AT5" s="94"/>
      <c r="AU5" s="94"/>
      <c r="AV5" s="94"/>
      <c r="AW5" s="94"/>
      <c r="AX5" s="95"/>
      <c r="AY5" s="95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5"/>
    </row>
    <row r="6" spans="1:72" x14ac:dyDescent="0.25">
      <c r="A6"/>
      <c r="B6" s="4"/>
      <c r="C6" s="5"/>
      <c r="D6" s="5"/>
      <c r="E6" s="139" t="s">
        <v>160</v>
      </c>
      <c r="F6" s="139"/>
      <c r="G6" s="139"/>
      <c r="H6" s="139"/>
      <c r="I6" s="139"/>
      <c r="J6" s="140"/>
      <c r="K6" s="141" t="s">
        <v>1</v>
      </c>
      <c r="L6" s="142"/>
      <c r="M6" s="142"/>
      <c r="N6" s="142"/>
      <c r="O6" s="142"/>
      <c r="P6" s="142"/>
      <c r="Q6" s="143"/>
      <c r="R6" s="11">
        <f>IF($K$5="ATK",4,2)</f>
        <v>2</v>
      </c>
      <c r="S6"/>
      <c r="T6" s="155" t="s">
        <v>70</v>
      </c>
      <c r="U6" s="155"/>
      <c r="V6" s="155"/>
      <c r="W6" s="155"/>
      <c r="X6" s="155"/>
      <c r="Y6" s="155"/>
      <c r="Z6" s="141" t="s">
        <v>66</v>
      </c>
      <c r="AA6" s="142"/>
      <c r="AB6" s="142"/>
      <c r="AC6" s="142"/>
      <c r="AD6" s="142"/>
      <c r="AE6" s="142"/>
      <c r="AF6" s="142"/>
      <c r="AG6" s="143"/>
      <c r="AH6" s="5"/>
      <c r="AI6" s="5"/>
      <c r="AJ6" s="6"/>
      <c r="AK6"/>
      <c r="AN6" s="95"/>
      <c r="AO6" s="95"/>
      <c r="AP6" s="94"/>
      <c r="AQ6" s="94"/>
      <c r="AR6" s="94"/>
      <c r="AS6" s="94"/>
      <c r="AT6" s="94"/>
      <c r="AU6" s="94"/>
      <c r="AV6" s="94"/>
      <c r="AW6" s="94"/>
      <c r="AX6" s="95"/>
      <c r="AY6" s="95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5"/>
    </row>
    <row r="7" spans="1:72" x14ac:dyDescent="0.25">
      <c r="A7"/>
      <c r="B7" s="4"/>
      <c r="C7" s="5"/>
      <c r="D7" s="68"/>
      <c r="E7" s="139" t="s">
        <v>52</v>
      </c>
      <c r="F7" s="139"/>
      <c r="G7" s="139"/>
      <c r="H7" s="139"/>
      <c r="I7" s="139"/>
      <c r="J7" s="140"/>
      <c r="K7" s="141" t="s">
        <v>142</v>
      </c>
      <c r="L7" s="142"/>
      <c r="M7" s="142"/>
      <c r="N7" s="142"/>
      <c r="O7" s="142"/>
      <c r="P7" s="142"/>
      <c r="Q7" s="143"/>
      <c r="R7" s="11">
        <f>IF($K$5="ATK",2,3)</f>
        <v>3</v>
      </c>
      <c r="S7" s="67"/>
      <c r="T7" s="155" t="s">
        <v>60</v>
      </c>
      <c r="U7" s="155"/>
      <c r="V7" s="155"/>
      <c r="W7" s="155"/>
      <c r="X7" s="155"/>
      <c r="Y7" s="155"/>
      <c r="Z7" s="141" t="s">
        <v>445</v>
      </c>
      <c r="AA7" s="142"/>
      <c r="AB7" s="142"/>
      <c r="AC7" s="142"/>
      <c r="AD7" s="142"/>
      <c r="AE7" s="142"/>
      <c r="AF7" s="142"/>
      <c r="AG7" s="143"/>
      <c r="AH7" s="5"/>
      <c r="AI7" s="5"/>
      <c r="AJ7" s="6"/>
      <c r="AK7"/>
      <c r="AO7" s="89" t="s">
        <v>352</v>
      </c>
      <c r="AP7" s="94"/>
      <c r="AQ7" s="94"/>
      <c r="AR7" s="94"/>
      <c r="AS7" s="94"/>
      <c r="AT7" s="94"/>
      <c r="AU7" s="94"/>
      <c r="AV7" s="94"/>
      <c r="AW7" s="94"/>
      <c r="AX7" s="95"/>
      <c r="AY7" s="95"/>
      <c r="AZ7" s="94"/>
      <c r="BA7" s="94"/>
      <c r="BB7" s="94"/>
      <c r="BC7" s="94"/>
      <c r="BD7" s="94"/>
      <c r="BE7" s="94"/>
      <c r="BF7" s="94"/>
      <c r="BG7" s="94"/>
      <c r="BH7" s="94"/>
      <c r="BI7" s="94"/>
    </row>
    <row r="8" spans="1:72" x14ac:dyDescent="0.25">
      <c r="A8"/>
      <c r="B8" s="4"/>
      <c r="C8" s="5"/>
      <c r="D8" s="68"/>
      <c r="E8" s="139" t="s">
        <v>54</v>
      </c>
      <c r="F8" s="139"/>
      <c r="G8" s="139"/>
      <c r="H8" s="139"/>
      <c r="I8" s="139"/>
      <c r="J8" s="140"/>
      <c r="K8" s="141" t="s">
        <v>152</v>
      </c>
      <c r="L8" s="142"/>
      <c r="M8" s="142"/>
      <c r="N8" s="142"/>
      <c r="O8" s="142"/>
      <c r="P8" s="142"/>
      <c r="Q8" s="143"/>
      <c r="R8" s="11">
        <f>IF($K$5="ATK",3,4)</f>
        <v>4</v>
      </c>
      <c r="S8" s="67"/>
      <c r="T8" s="22"/>
      <c r="U8" s="22"/>
      <c r="V8" s="22"/>
      <c r="W8"/>
      <c r="X8"/>
      <c r="Y8"/>
      <c r="Z8"/>
      <c r="AA8"/>
      <c r="AB8"/>
      <c r="AC8"/>
      <c r="AD8"/>
      <c r="AE8"/>
      <c r="AF8"/>
      <c r="AG8"/>
      <c r="AH8" s="5"/>
      <c r="AI8" s="5"/>
      <c r="AJ8" s="6"/>
      <c r="AK8"/>
      <c r="AP8" s="94"/>
      <c r="AQ8" s="94"/>
      <c r="AR8" s="94"/>
      <c r="AS8" s="94"/>
      <c r="AT8" s="94"/>
      <c r="AU8" s="94"/>
      <c r="AV8" s="94"/>
      <c r="AW8" s="94"/>
      <c r="AX8" s="95"/>
      <c r="AY8" s="95"/>
      <c r="AZ8" s="94"/>
      <c r="BA8" s="94"/>
      <c r="BB8" s="94"/>
      <c r="BC8" s="94"/>
      <c r="BD8" s="94"/>
      <c r="BE8" s="94"/>
      <c r="BF8" s="94"/>
      <c r="BG8" s="94"/>
      <c r="BH8" s="94"/>
      <c r="BI8" s="94"/>
    </row>
    <row r="9" spans="1:72" x14ac:dyDescent="0.25">
      <c r="A9"/>
      <c r="B9" s="4"/>
      <c r="C9" s="5"/>
      <c r="D9" s="5"/>
      <c r="E9" s="139" t="s">
        <v>53</v>
      </c>
      <c r="F9" s="139"/>
      <c r="G9" s="139"/>
      <c r="H9" s="139"/>
      <c r="I9" s="139"/>
      <c r="J9" s="139"/>
      <c r="K9" s="154">
        <v>34</v>
      </c>
      <c r="L9" s="154"/>
      <c r="M9" s="154"/>
      <c r="N9" s="154"/>
      <c r="O9" s="154"/>
      <c r="P9" s="154"/>
      <c r="Q9" s="154"/>
      <c r="R9" s="11"/>
      <c r="S9" s="24"/>
      <c r="T9" s="139" t="s">
        <v>167</v>
      </c>
      <c r="U9" s="139"/>
      <c r="V9" s="139"/>
      <c r="W9" s="139"/>
      <c r="X9" s="139"/>
      <c r="Y9" s="139"/>
      <c r="Z9" s="167" t="s">
        <v>499</v>
      </c>
      <c r="AA9" s="168"/>
      <c r="AB9" s="168"/>
      <c r="AC9" s="168"/>
      <c r="AD9" s="168"/>
      <c r="AE9" s="168"/>
      <c r="AF9" s="168"/>
      <c r="AG9" s="169"/>
      <c r="AH9" s="5"/>
      <c r="AI9" s="5"/>
      <c r="AJ9" s="6"/>
      <c r="AK9"/>
      <c r="AP9" s="94"/>
      <c r="AQ9" s="94"/>
      <c r="AR9" s="94"/>
      <c r="AS9" s="94"/>
      <c r="AT9" s="94"/>
      <c r="AU9" s="94"/>
      <c r="AV9" s="94"/>
      <c r="AW9" s="94"/>
      <c r="AX9" s="95"/>
      <c r="AY9" s="95"/>
      <c r="AZ9" s="94"/>
      <c r="BA9" s="94"/>
      <c r="BB9" s="94"/>
      <c r="BC9" s="94"/>
      <c r="BD9" s="94"/>
      <c r="BE9" s="94"/>
      <c r="BF9" s="94"/>
      <c r="BG9" s="94"/>
      <c r="BH9" s="94"/>
      <c r="BI9" s="94"/>
    </row>
    <row r="10" spans="1:72" x14ac:dyDescent="0.25">
      <c r="A10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6"/>
      <c r="AK10"/>
      <c r="AO10" s="89" t="s">
        <v>342</v>
      </c>
      <c r="AP10" s="94"/>
      <c r="AQ10" s="94"/>
      <c r="AR10" s="94"/>
      <c r="AS10" s="94"/>
      <c r="AT10" s="94"/>
      <c r="AU10" s="94"/>
      <c r="AV10" s="94"/>
      <c r="AW10" s="94"/>
      <c r="AX10" s="95"/>
      <c r="AY10" s="95"/>
      <c r="AZ10" s="94"/>
      <c r="BA10" s="94"/>
      <c r="BB10" s="94"/>
      <c r="BC10" s="94"/>
      <c r="BD10" s="94"/>
      <c r="BE10" s="94"/>
      <c r="BF10" s="94"/>
      <c r="BG10" s="94"/>
      <c r="BH10" s="94"/>
      <c r="BI10" s="94"/>
    </row>
    <row r="11" spans="1:72" x14ac:dyDescent="0.25">
      <c r="A11"/>
      <c r="B11" s="4"/>
      <c r="C11" s="5"/>
      <c r="D11" s="5"/>
      <c r="E11" s="153" t="s">
        <v>69</v>
      </c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5"/>
      <c r="AI11" s="5"/>
      <c r="AJ11" s="6"/>
      <c r="AK11"/>
      <c r="AM11" s="93" t="e">
        <f>AB3+AB4</f>
        <v>#VALUE!</v>
      </c>
      <c r="AO11" s="89" t="s">
        <v>353</v>
      </c>
      <c r="AP11" s="94"/>
      <c r="AQ11" s="94"/>
      <c r="AR11" s="94"/>
      <c r="AS11" s="94"/>
      <c r="AT11" s="94"/>
      <c r="AU11" s="94"/>
      <c r="AV11" s="94"/>
      <c r="AW11" s="94"/>
      <c r="AX11" s="95"/>
      <c r="AY11" s="95"/>
      <c r="AZ11" s="94"/>
      <c r="BA11" s="94"/>
      <c r="BB11" s="94"/>
      <c r="BC11" s="94"/>
      <c r="BD11" s="94"/>
      <c r="BE11" s="94"/>
      <c r="BF11" s="94"/>
      <c r="BG11" s="94"/>
      <c r="BH11" s="94"/>
      <c r="BI11" s="94"/>
    </row>
    <row r="12" spans="1:72" x14ac:dyDescent="0.25">
      <c r="A12"/>
      <c r="B12" s="4"/>
      <c r="C12" s="5"/>
      <c r="D12" s="5"/>
      <c r="E12" s="144" t="s">
        <v>500</v>
      </c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6"/>
      <c r="AH12" s="5"/>
      <c r="AI12" s="5"/>
      <c r="AJ12" s="6"/>
      <c r="AK12"/>
      <c r="AO12" s="97" t="s">
        <v>351</v>
      </c>
      <c r="AP12" s="94"/>
      <c r="AQ12" s="94"/>
      <c r="AR12" s="94"/>
      <c r="AS12" s="94"/>
      <c r="AT12" s="94"/>
      <c r="AU12" s="94"/>
      <c r="AV12" s="94"/>
      <c r="AW12" s="94"/>
      <c r="AX12" s="95"/>
      <c r="AY12" s="95"/>
      <c r="AZ12" s="94"/>
      <c r="BA12" s="94"/>
      <c r="BB12" s="94"/>
      <c r="BC12" s="94"/>
      <c r="BD12" s="94"/>
      <c r="BE12" s="94"/>
      <c r="BF12" s="94"/>
      <c r="BG12" s="94"/>
      <c r="BH12" s="94"/>
      <c r="BI12" s="94"/>
    </row>
    <row r="13" spans="1:72" x14ac:dyDescent="0.25">
      <c r="A13"/>
      <c r="B13" s="4"/>
      <c r="C13" s="5"/>
      <c r="D13" s="5"/>
      <c r="E13" s="147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9"/>
      <c r="AH13" s="5"/>
      <c r="AI13" s="5"/>
      <c r="AJ13" s="6"/>
      <c r="AK13"/>
      <c r="AP13" s="94"/>
      <c r="AQ13" s="94"/>
      <c r="AR13" s="94"/>
      <c r="AS13" s="94"/>
      <c r="AT13" s="94"/>
      <c r="AU13" s="94"/>
      <c r="AV13" s="94"/>
      <c r="AW13" s="94"/>
      <c r="AX13" s="95"/>
      <c r="AY13" s="95"/>
      <c r="AZ13" s="94"/>
      <c r="BA13" s="94"/>
      <c r="BB13" s="94"/>
      <c r="BC13" s="94"/>
      <c r="BD13" s="94"/>
      <c r="BE13" s="94"/>
      <c r="BF13" s="94"/>
      <c r="BG13" s="94"/>
      <c r="BH13" s="94"/>
      <c r="BI13" s="94"/>
    </row>
    <row r="14" spans="1:72" x14ac:dyDescent="0.25">
      <c r="A14"/>
      <c r="B14" s="4"/>
      <c r="C14" s="5"/>
      <c r="D14" s="5"/>
      <c r="E14" s="150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5"/>
      <c r="AI14" s="5"/>
      <c r="AJ14" s="6"/>
      <c r="AK14"/>
      <c r="AO14" s="89" t="s">
        <v>343</v>
      </c>
      <c r="AP14" s="94"/>
      <c r="AQ14" s="94"/>
      <c r="AR14" s="94"/>
      <c r="AS14" s="94"/>
      <c r="AT14" s="94"/>
      <c r="AU14" s="94"/>
      <c r="AV14" s="94"/>
      <c r="AW14" s="94"/>
      <c r="AX14" s="95"/>
      <c r="AY14" s="95"/>
      <c r="AZ14" s="94"/>
      <c r="BA14" s="94"/>
      <c r="BB14" s="94"/>
      <c r="BC14" s="94"/>
      <c r="BD14" s="94"/>
      <c r="BE14" s="94"/>
      <c r="BF14" s="94"/>
      <c r="BG14" s="94"/>
      <c r="BH14" s="94"/>
      <c r="BI14" s="94"/>
    </row>
    <row r="15" spans="1:72" x14ac:dyDescent="0.25">
      <c r="A15"/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24"/>
      <c r="N15" s="24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6"/>
      <c r="AK15"/>
      <c r="AM15" s="90" t="str">
        <f>IFERROR(VLOOKUP(K8,'ATK Specific Menus'!C:D,2,FALSE),"Please_Select")</f>
        <v>Please_Select</v>
      </c>
      <c r="AO15" s="89" t="s">
        <v>348</v>
      </c>
      <c r="AQ15" s="94"/>
      <c r="AR15" s="94"/>
      <c r="AS15" s="94"/>
      <c r="AT15" s="94"/>
      <c r="AU15" s="94"/>
      <c r="AV15" s="94"/>
      <c r="AW15" s="94"/>
      <c r="AX15" s="95"/>
      <c r="AY15" s="95"/>
      <c r="AZ15" s="94"/>
      <c r="BA15" s="94"/>
      <c r="BB15" s="94"/>
      <c r="BC15" s="94"/>
      <c r="BD15" s="94"/>
      <c r="BE15" s="94"/>
      <c r="BF15" s="94"/>
      <c r="BG15" s="94"/>
      <c r="BH15" s="94"/>
      <c r="BI15" s="94"/>
    </row>
    <row r="16" spans="1:72" x14ac:dyDescent="0.25">
      <c r="A16"/>
      <c r="B16" s="4"/>
      <c r="C16" s="5"/>
      <c r="D16"/>
      <c r="E16"/>
      <c r="F16" s="139" t="s">
        <v>168</v>
      </c>
      <c r="G16" s="139"/>
      <c r="H16" s="139"/>
      <c r="I16" s="139"/>
      <c r="J16" s="140"/>
      <c r="K16" s="160" t="s">
        <v>187</v>
      </c>
      <c r="L16" s="160"/>
      <c r="M16" s="160"/>
      <c r="N16" s="160"/>
      <c r="O16" s="160"/>
      <c r="P16" s="160"/>
      <c r="Q16" s="160"/>
      <c r="R16" s="49"/>
      <c r="S16" s="49"/>
      <c r="T16" s="49"/>
      <c r="U16" s="49"/>
      <c r="V16"/>
      <c r="W16"/>
      <c r="X16"/>
      <c r="Y16"/>
      <c r="Z16"/>
      <c r="AA16"/>
      <c r="AB16"/>
      <c r="AC16"/>
      <c r="AD16"/>
      <c r="AE16"/>
      <c r="AF16"/>
      <c r="AG16"/>
      <c r="AH16" s="5"/>
      <c r="AI16" s="5"/>
      <c r="AJ16" s="6"/>
      <c r="AK16"/>
      <c r="AM16" s="98" t="str">
        <f>IFERROR(IF(K5="Controls",IF(K7="Please_Select","N/A",VLOOKUP(K6&amp;K7,'Common Down Menus'!$G:$I,2,FALSE)),"ATK"),"N/A")</f>
        <v>1F67700</v>
      </c>
      <c r="AO16" s="99" t="s">
        <v>392</v>
      </c>
      <c r="AP16" s="94"/>
      <c r="AQ16" s="94"/>
      <c r="AR16" s="94"/>
      <c r="AS16" s="94"/>
      <c r="AT16" s="94"/>
      <c r="AU16" s="94"/>
      <c r="AV16" s="94"/>
      <c r="AW16" s="94"/>
      <c r="AX16" s="95"/>
      <c r="AY16" s="95"/>
      <c r="AZ16" s="94"/>
      <c r="BA16" s="94"/>
      <c r="BB16" s="94"/>
      <c r="BC16" s="94"/>
      <c r="BD16" s="94"/>
      <c r="BE16" s="94"/>
      <c r="BF16" s="94"/>
      <c r="BG16" s="94"/>
      <c r="BH16" s="94"/>
      <c r="BI16" s="94"/>
    </row>
    <row r="17" spans="1:61" x14ac:dyDescent="0.25">
      <c r="A17"/>
      <c r="B17" s="4"/>
      <c r="C17" s="5"/>
      <c r="D17"/>
      <c r="E17"/>
      <c r="F17" s="5"/>
      <c r="G17" s="48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/>
      <c r="W17"/>
      <c r="X17"/>
      <c r="Y17"/>
      <c r="Z17"/>
      <c r="AA17"/>
      <c r="AB17"/>
      <c r="AC17"/>
      <c r="AD17"/>
      <c r="AE17"/>
      <c r="AF17"/>
      <c r="AG17"/>
      <c r="AH17" s="5"/>
      <c r="AI17" s="5"/>
      <c r="AJ17" s="6"/>
      <c r="AK17"/>
      <c r="AQ17" s="94"/>
      <c r="AR17" s="94"/>
      <c r="AS17" s="94"/>
      <c r="AT17" s="94"/>
      <c r="AU17" s="94"/>
      <c r="AV17" s="94"/>
      <c r="AW17" s="94"/>
      <c r="AX17" s="95"/>
      <c r="AY17" s="95"/>
      <c r="AZ17" s="94"/>
      <c r="BA17" s="94"/>
      <c r="BB17" s="94"/>
      <c r="BC17" s="94"/>
      <c r="BD17" s="94"/>
      <c r="BE17" s="94"/>
      <c r="BF17" s="94"/>
      <c r="BG17" s="94"/>
      <c r="BH17" s="94"/>
      <c r="BI17" s="94"/>
    </row>
    <row r="18" spans="1:61" x14ac:dyDescent="0.25">
      <c r="A18"/>
      <c r="B18" s="4"/>
      <c r="C18" s="5"/>
      <c r="D18"/>
      <c r="E18"/>
      <c r="F18" s="5"/>
      <c r="G18" s="139" t="s">
        <v>166</v>
      </c>
      <c r="H18" s="139"/>
      <c r="I18" s="139"/>
      <c r="J18" s="140"/>
      <c r="K18" s="141" t="s">
        <v>163</v>
      </c>
      <c r="L18" s="142"/>
      <c r="M18" s="142"/>
      <c r="N18" s="142"/>
      <c r="O18" s="142"/>
      <c r="P18" s="142"/>
      <c r="Q18" s="143"/>
      <c r="R18"/>
      <c r="S18"/>
      <c r="T18"/>
      <c r="U18"/>
      <c r="V18" s="139" t="s">
        <v>201</v>
      </c>
      <c r="W18" s="139"/>
      <c r="X18" s="139"/>
      <c r="Y18" s="139"/>
      <c r="Z18" s="139"/>
      <c r="AA18" s="140"/>
      <c r="AB18" s="170" t="s">
        <v>25</v>
      </c>
      <c r="AC18" s="170"/>
      <c r="AD18" s="170"/>
      <c r="AE18" s="170"/>
      <c r="AF18" s="170"/>
      <c r="AG18" s="170"/>
      <c r="AH18" s="5"/>
      <c r="AI18" s="5"/>
      <c r="AJ18" s="6"/>
      <c r="AK18"/>
      <c r="AO18" s="89" t="s">
        <v>344</v>
      </c>
      <c r="AP18" s="94"/>
      <c r="AQ18" s="94"/>
      <c r="AR18" s="94"/>
      <c r="AS18" s="94"/>
      <c r="AT18" s="94"/>
      <c r="AU18" s="94"/>
      <c r="AV18" s="94"/>
      <c r="AW18" s="94"/>
      <c r="AX18" s="95"/>
      <c r="AY18" s="95"/>
      <c r="AZ18" s="94"/>
      <c r="BA18" s="94"/>
      <c r="BB18" s="94"/>
      <c r="BC18" s="94"/>
      <c r="BD18" s="94"/>
      <c r="BE18" s="94"/>
      <c r="BF18" s="94"/>
      <c r="BG18" s="94"/>
      <c r="BH18" s="94"/>
      <c r="BI18" s="94"/>
    </row>
    <row r="19" spans="1:61" x14ac:dyDescent="0.25">
      <c r="A19"/>
      <c r="B19" s="4"/>
      <c r="C19" s="5"/>
      <c r="D19" s="5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 s="5"/>
      <c r="AI19" s="5"/>
      <c r="AJ19" s="6"/>
      <c r="AK19"/>
      <c r="AO19" s="89" t="s">
        <v>349</v>
      </c>
      <c r="AP19" s="94"/>
      <c r="AQ19" s="94"/>
      <c r="AR19" s="94"/>
      <c r="AS19" s="94"/>
      <c r="AT19" s="94"/>
      <c r="AU19" s="94"/>
      <c r="AV19" s="94"/>
      <c r="AW19" s="94"/>
      <c r="AX19" s="95"/>
      <c r="AY19" s="95"/>
      <c r="AZ19" s="94"/>
      <c r="BA19" s="94"/>
      <c r="BB19" s="94"/>
      <c r="BC19" s="94"/>
      <c r="BD19" s="94"/>
      <c r="BE19" s="94"/>
      <c r="BF19" s="94"/>
      <c r="BG19" s="94"/>
      <c r="BH19" s="94"/>
      <c r="BI19" s="94"/>
    </row>
    <row r="20" spans="1:61" x14ac:dyDescent="0.25">
      <c r="A20"/>
      <c r="B20" s="4"/>
      <c r="C20" s="5"/>
      <c r="D20" s="5"/>
      <c r="E20" s="5" t="s">
        <v>158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6"/>
      <c r="AK20"/>
      <c r="AP20" s="94"/>
      <c r="AQ20" s="94"/>
      <c r="AR20" s="94"/>
      <c r="AS20" s="94"/>
      <c r="AT20" s="94"/>
      <c r="AU20" s="94"/>
      <c r="AV20" s="94"/>
      <c r="AW20" s="94"/>
      <c r="AX20" s="95"/>
      <c r="AY20" s="95"/>
      <c r="AZ20" s="94"/>
      <c r="BA20" s="94"/>
      <c r="BB20" s="94"/>
      <c r="BC20" s="94"/>
      <c r="BD20" s="94"/>
      <c r="BE20" s="94"/>
      <c r="BF20" s="94"/>
      <c r="BG20" s="94"/>
      <c r="BH20" s="94"/>
      <c r="BI20" s="94"/>
    </row>
    <row r="21" spans="1:61" x14ac:dyDescent="0.25">
      <c r="A21"/>
      <c r="B21" s="4"/>
      <c r="C21" s="5"/>
      <c r="D21" s="5"/>
      <c r="E21" s="144" t="s">
        <v>502</v>
      </c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6"/>
      <c r="AH21" s="5"/>
      <c r="AI21" s="5"/>
      <c r="AJ21" s="6"/>
      <c r="AK21"/>
      <c r="AP21" s="94"/>
      <c r="AQ21" s="94"/>
      <c r="AR21" s="94"/>
      <c r="AS21" s="94"/>
      <c r="AT21" s="94"/>
      <c r="AU21" s="94"/>
      <c r="AV21" s="94"/>
      <c r="AW21" s="94"/>
      <c r="AX21" s="95"/>
      <c r="AY21" s="95"/>
      <c r="AZ21" s="94"/>
      <c r="BA21" s="94"/>
      <c r="BB21" s="94"/>
      <c r="BC21" s="94"/>
      <c r="BD21" s="94"/>
      <c r="BE21" s="94"/>
      <c r="BF21" s="94"/>
      <c r="BG21" s="94"/>
      <c r="BH21" s="94"/>
      <c r="BI21" s="94"/>
    </row>
    <row r="22" spans="1:61" x14ac:dyDescent="0.25">
      <c r="A22"/>
      <c r="B22" s="4"/>
      <c r="C22" s="5"/>
      <c r="D22" s="5"/>
      <c r="E22" s="147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9"/>
      <c r="AH22" s="5"/>
      <c r="AI22" s="5"/>
      <c r="AJ22" s="6"/>
      <c r="AK22"/>
      <c r="AO22" s="89" t="s">
        <v>345</v>
      </c>
    </row>
    <row r="23" spans="1:61" x14ac:dyDescent="0.25">
      <c r="A23"/>
      <c r="B23" s="4"/>
      <c r="C23" s="5"/>
      <c r="D23" s="5"/>
      <c r="E23" s="150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5"/>
      <c r="AI23" s="5"/>
      <c r="AJ23" s="6"/>
      <c r="AK23"/>
      <c r="AO23" s="89" t="s">
        <v>350</v>
      </c>
    </row>
    <row r="24" spans="1:61" x14ac:dyDescent="0.25">
      <c r="A24"/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6"/>
      <c r="AK24"/>
    </row>
    <row r="25" spans="1:61" x14ac:dyDescent="0.25">
      <c r="A25"/>
      <c r="B25" s="4"/>
      <c r="C25" s="5"/>
      <c r="D25" s="5"/>
      <c r="E25" s="5" t="s">
        <v>161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6"/>
      <c r="AK25"/>
    </row>
    <row r="26" spans="1:61" x14ac:dyDescent="0.25">
      <c r="A26"/>
      <c r="B26" s="4"/>
      <c r="C26" s="5"/>
      <c r="D26" s="5"/>
      <c r="E26" s="144" t="s">
        <v>503</v>
      </c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6"/>
      <c r="AH26" s="5"/>
      <c r="AI26" s="5"/>
      <c r="AJ26" s="6"/>
      <c r="AK26"/>
      <c r="AO26" s="89" t="s">
        <v>346</v>
      </c>
    </row>
    <row r="27" spans="1:61" x14ac:dyDescent="0.25">
      <c r="A27"/>
      <c r="B27" s="4"/>
      <c r="C27" s="5"/>
      <c r="D27" s="5"/>
      <c r="E27" s="147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9"/>
      <c r="AH27" s="5"/>
      <c r="AI27" s="5"/>
      <c r="AJ27" s="6"/>
      <c r="AK27"/>
      <c r="AO27" s="89" t="s">
        <v>354</v>
      </c>
    </row>
    <row r="28" spans="1:61" x14ac:dyDescent="0.25">
      <c r="A28"/>
      <c r="B28" s="4"/>
      <c r="C28" s="5"/>
      <c r="D28" s="5"/>
      <c r="E28" s="150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2"/>
      <c r="AH28" s="5"/>
      <c r="AI28" s="5"/>
      <c r="AJ28" s="6"/>
      <c r="AK28"/>
      <c r="AO28" s="100"/>
    </row>
    <row r="29" spans="1:61" x14ac:dyDescent="0.25">
      <c r="A29"/>
      <c r="B29" s="4"/>
      <c r="C29" s="5"/>
      <c r="D29" s="5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 s="5"/>
      <c r="AI29" s="5"/>
      <c r="AJ29" s="6"/>
      <c r="AK29"/>
      <c r="AO29" s="101"/>
    </row>
    <row r="30" spans="1:61" x14ac:dyDescent="0.25">
      <c r="A30"/>
      <c r="B30" s="4"/>
      <c r="C30" s="5"/>
      <c r="D30" s="5"/>
      <c r="E30" s="5" t="s">
        <v>159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6"/>
      <c r="AK30"/>
      <c r="AO30" s="89" t="s">
        <v>347</v>
      </c>
    </row>
    <row r="31" spans="1:61" x14ac:dyDescent="0.25">
      <c r="A31"/>
      <c r="B31" s="4"/>
      <c r="C31" s="5"/>
      <c r="D31" s="5"/>
      <c r="E31" s="144" t="s">
        <v>504</v>
      </c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6"/>
      <c r="AH31" s="5"/>
      <c r="AI31" s="5"/>
      <c r="AJ31" s="6"/>
      <c r="AK31"/>
      <c r="AO31" s="89" t="s">
        <v>387</v>
      </c>
    </row>
    <row r="32" spans="1:61" x14ac:dyDescent="0.25">
      <c r="A32"/>
      <c r="B32" s="4"/>
      <c r="C32" s="5"/>
      <c r="D32" s="5"/>
      <c r="E32" s="147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9"/>
      <c r="AH32" s="5"/>
      <c r="AI32" s="5"/>
      <c r="AJ32" s="6"/>
      <c r="AK32"/>
      <c r="AO32" s="99" t="s">
        <v>392</v>
      </c>
    </row>
    <row r="33" spans="1:41" x14ac:dyDescent="0.25">
      <c r="A33"/>
      <c r="B33" s="4"/>
      <c r="C33" s="5"/>
      <c r="D33" s="5"/>
      <c r="E33" s="147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9"/>
      <c r="AH33" s="5"/>
      <c r="AI33" s="5"/>
      <c r="AJ33" s="6"/>
      <c r="AK33"/>
    </row>
    <row r="34" spans="1:41" x14ac:dyDescent="0.25">
      <c r="A34"/>
      <c r="B34" s="4"/>
      <c r="C34" s="5"/>
      <c r="D34" s="5"/>
      <c r="E34" s="147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9"/>
      <c r="AH34" s="5"/>
      <c r="AI34" s="5"/>
      <c r="AJ34" s="6"/>
      <c r="AK34"/>
      <c r="AO34" s="89" t="s">
        <v>360</v>
      </c>
    </row>
    <row r="35" spans="1:41" x14ac:dyDescent="0.25">
      <c r="A35"/>
      <c r="B35" s="4"/>
      <c r="C35" s="5"/>
      <c r="D35" s="5"/>
      <c r="E35" s="147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9"/>
      <c r="AH35" s="5"/>
      <c r="AI35" s="5"/>
      <c r="AJ35" s="6"/>
      <c r="AK35"/>
      <c r="AO35" s="89" t="s">
        <v>388</v>
      </c>
    </row>
    <row r="36" spans="1:41" x14ac:dyDescent="0.25">
      <c r="A36"/>
      <c r="B36" s="4"/>
      <c r="C36" s="5"/>
      <c r="D36" s="5"/>
      <c r="E36" s="147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9"/>
      <c r="AH36" s="5"/>
      <c r="AI36" s="5"/>
      <c r="AJ36" s="6"/>
      <c r="AK36"/>
      <c r="AM36" s="102"/>
      <c r="AO36" s="99" t="s">
        <v>392</v>
      </c>
    </row>
    <row r="37" spans="1:41" x14ac:dyDescent="0.25">
      <c r="A37"/>
      <c r="B37" s="4"/>
      <c r="C37" s="5"/>
      <c r="D37" s="5"/>
      <c r="E37" s="147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9"/>
      <c r="AH37" s="5"/>
      <c r="AI37" s="5"/>
      <c r="AJ37" s="6"/>
      <c r="AK37"/>
    </row>
    <row r="38" spans="1:41" x14ac:dyDescent="0.25">
      <c r="A38"/>
      <c r="B38" s="4"/>
      <c r="C38" s="5"/>
      <c r="D38" s="5"/>
      <c r="E38" s="147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9"/>
      <c r="AH38" s="5"/>
      <c r="AI38" s="5"/>
      <c r="AJ38" s="6"/>
      <c r="AK38"/>
    </row>
    <row r="39" spans="1:41" x14ac:dyDescent="0.25">
      <c r="A39"/>
      <c r="B39" s="4"/>
      <c r="C39" s="5"/>
      <c r="D39" s="5"/>
      <c r="E39" s="150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2"/>
      <c r="AH39" s="5"/>
      <c r="AI39" s="5"/>
      <c r="AJ39" s="6"/>
      <c r="AK39"/>
    </row>
    <row r="40" spans="1:41" x14ac:dyDescent="0.25">
      <c r="A40"/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6"/>
      <c r="AK40"/>
      <c r="AM40" s="102"/>
    </row>
    <row r="41" spans="1:41" x14ac:dyDescent="0.25">
      <c r="A41"/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6"/>
      <c r="AK41"/>
    </row>
    <row r="42" spans="1:41" ht="15" customHeight="1" x14ac:dyDescent="0.25">
      <c r="A42"/>
      <c r="B42" s="4"/>
      <c r="C42" s="5"/>
      <c r="D42" s="5"/>
      <c r="E42" s="163" t="s">
        <v>121</v>
      </c>
      <c r="F42" s="163"/>
      <c r="G42" s="165" t="s">
        <v>505</v>
      </c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5"/>
      <c r="S42" s="5"/>
      <c r="T42" s="5"/>
      <c r="U42" s="163" t="s">
        <v>121</v>
      </c>
      <c r="V42" s="163"/>
      <c r="W42" s="165" t="s">
        <v>506</v>
      </c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5"/>
      <c r="AI42" s="5"/>
      <c r="AJ42" s="6"/>
      <c r="AK42"/>
    </row>
    <row r="43" spans="1:41" ht="15" customHeight="1" x14ac:dyDescent="0.25">
      <c r="A43"/>
      <c r="B43" s="4"/>
      <c r="C43" s="5"/>
      <c r="D43" s="5"/>
      <c r="E43" s="164"/>
      <c r="F43" s="164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5"/>
      <c r="S43" s="5"/>
      <c r="T43" s="5"/>
      <c r="U43" s="164"/>
      <c r="V43" s="164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5"/>
      <c r="AI43" s="5"/>
      <c r="AJ43" s="6"/>
      <c r="AK43"/>
    </row>
    <row r="44" spans="1:41" x14ac:dyDescent="0.25">
      <c r="A44"/>
      <c r="B44" s="4"/>
      <c r="C44" s="5"/>
      <c r="D44" s="5"/>
      <c r="E44" s="5" t="s">
        <v>358</v>
      </c>
      <c r="F44" s="5"/>
      <c r="G44" s="5"/>
      <c r="H44" s="5"/>
      <c r="I44" s="5"/>
      <c r="J44" s="5"/>
      <c r="K44" s="5"/>
      <c r="L44" s="5"/>
      <c r="M44" s="136">
        <v>42663</v>
      </c>
      <c r="N44" s="136"/>
      <c r="O44" s="136"/>
      <c r="P44" s="136"/>
      <c r="Q44" s="136"/>
      <c r="R44" s="5"/>
      <c r="S44" s="5"/>
      <c r="T44" s="5"/>
      <c r="U44" s="5" t="s">
        <v>359</v>
      </c>
      <c r="V44" s="5"/>
      <c r="W44" s="5"/>
      <c r="X44" s="5"/>
      <c r="Y44" s="5"/>
      <c r="Z44" s="5"/>
      <c r="AA44" s="5"/>
      <c r="AB44" s="5"/>
      <c r="AC44" s="136">
        <v>42663</v>
      </c>
      <c r="AD44" s="136"/>
      <c r="AE44" s="136"/>
      <c r="AF44" s="136"/>
      <c r="AG44" s="136"/>
      <c r="AH44" s="5"/>
      <c r="AI44" s="5"/>
      <c r="AJ44" s="6"/>
      <c r="AK44"/>
    </row>
    <row r="45" spans="1:41" x14ac:dyDescent="0.25">
      <c r="A45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137"/>
      <c r="N45" s="137"/>
      <c r="O45" s="137"/>
      <c r="P45" s="137"/>
      <c r="Q45" s="137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137"/>
      <c r="AD45" s="138"/>
      <c r="AE45" s="138"/>
      <c r="AF45" s="138"/>
      <c r="AG45" s="138"/>
      <c r="AH45" s="5"/>
      <c r="AI45" s="5"/>
      <c r="AJ45" s="6"/>
      <c r="AK45"/>
    </row>
    <row r="46" spans="1:41" x14ac:dyDescent="0.25">
      <c r="A46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9"/>
      <c r="AK46"/>
    </row>
    <row r="47" spans="1:41" ht="7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41" ht="7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</sheetData>
  <sheetProtection formatCells="0" formatColumns="0" formatRows="0" insertColumns="0" insertRows="0" insertHyperlinks="0" deleteColumns="0" deleteRows="0" sort="0" autoFilter="0" pivotTables="0"/>
  <protectedRanges>
    <protectedRange sqref="K3:Q3 AB3:AG4 Z6:AG7 E12:AG14 K18:Q18 E21:AG23 E26:AG28 E31:AG39 K5:Q9 K16:Q16 G17:U17 W18 AB18:AG18" name="UserFields"/>
  </protectedRanges>
  <mergeCells count="44">
    <mergeCell ref="E42:F43"/>
    <mergeCell ref="G42:Q43"/>
    <mergeCell ref="U42:V43"/>
    <mergeCell ref="W42:AG43"/>
    <mergeCell ref="Z7:AG7"/>
    <mergeCell ref="G18:J18"/>
    <mergeCell ref="E31:AG39"/>
    <mergeCell ref="T9:Y9"/>
    <mergeCell ref="Z9:AG9"/>
    <mergeCell ref="K18:Q18"/>
    <mergeCell ref="V18:AA18"/>
    <mergeCell ref="AB18:AG18"/>
    <mergeCell ref="K16:Q16"/>
    <mergeCell ref="T7:Y7"/>
    <mergeCell ref="K7:Q7"/>
    <mergeCell ref="Z6:AG6"/>
    <mergeCell ref="K6:Q6"/>
    <mergeCell ref="F2:G2"/>
    <mergeCell ref="E5:J5"/>
    <mergeCell ref="K5:Q5"/>
    <mergeCell ref="B2:E2"/>
    <mergeCell ref="AB4:AG4"/>
    <mergeCell ref="X4:AA4"/>
    <mergeCell ref="X3:AA3"/>
    <mergeCell ref="K3:Q3"/>
    <mergeCell ref="AB3:AG3"/>
    <mergeCell ref="C3:J3"/>
    <mergeCell ref="AB2:AG2"/>
    <mergeCell ref="M44:Q44"/>
    <mergeCell ref="AC44:AG44"/>
    <mergeCell ref="M45:Q45"/>
    <mergeCell ref="AC45:AG45"/>
    <mergeCell ref="E6:J6"/>
    <mergeCell ref="E7:J7"/>
    <mergeCell ref="E8:J8"/>
    <mergeCell ref="K8:Q8"/>
    <mergeCell ref="E26:AG28"/>
    <mergeCell ref="E21:AG23"/>
    <mergeCell ref="E12:AG14"/>
    <mergeCell ref="E11:AG11"/>
    <mergeCell ref="K9:Q9"/>
    <mergeCell ref="T6:Y6"/>
    <mergeCell ref="E9:J9"/>
    <mergeCell ref="F16:J16"/>
  </mergeCells>
  <conditionalFormatting sqref="AB3:AG3">
    <cfRule type="expression" dxfId="179" priority="42">
      <formula>AB3=""</formula>
    </cfRule>
  </conditionalFormatting>
  <conditionalFormatting sqref="AB4:AG4">
    <cfRule type="expression" dxfId="178" priority="41">
      <formula>AB4=""</formula>
    </cfRule>
  </conditionalFormatting>
  <conditionalFormatting sqref="K9">
    <cfRule type="expression" dxfId="177" priority="40">
      <formula>K9=""</formula>
    </cfRule>
  </conditionalFormatting>
  <conditionalFormatting sqref="K7:Q7">
    <cfRule type="expression" dxfId="176" priority="36">
      <formula>K7="Please_Select"</formula>
    </cfRule>
  </conditionalFormatting>
  <conditionalFormatting sqref="Z6">
    <cfRule type="expression" dxfId="175" priority="35">
      <formula>Z6="Please_Select"</formula>
    </cfRule>
  </conditionalFormatting>
  <conditionalFormatting sqref="Z7">
    <cfRule type="expression" dxfId="174" priority="34">
      <formula>Z7="Please_Select"</formula>
    </cfRule>
  </conditionalFormatting>
  <conditionalFormatting sqref="K3:Q3">
    <cfRule type="expression" dxfId="173" priority="33">
      <formula>K3="Please_Select"</formula>
    </cfRule>
  </conditionalFormatting>
  <conditionalFormatting sqref="E12:AG14">
    <cfRule type="expression" dxfId="172" priority="31">
      <formula>E12=""</formula>
    </cfRule>
  </conditionalFormatting>
  <conditionalFormatting sqref="Z9">
    <cfRule type="expression" dxfId="171" priority="16">
      <formula>Z9=""</formula>
    </cfRule>
  </conditionalFormatting>
  <conditionalFormatting sqref="K16:Q16">
    <cfRule type="expression" dxfId="170" priority="13">
      <formula>K16="Please_Select"</formula>
    </cfRule>
  </conditionalFormatting>
  <conditionalFormatting sqref="K5:Q5">
    <cfRule type="expression" dxfId="169" priority="10">
      <formula>K5="Please_Select"</formula>
    </cfRule>
  </conditionalFormatting>
  <conditionalFormatting sqref="K18:Q18">
    <cfRule type="expression" dxfId="168" priority="9">
      <formula>K18="Please_Select"</formula>
    </cfRule>
  </conditionalFormatting>
  <conditionalFormatting sqref="E21:AG23">
    <cfRule type="expression" dxfId="167" priority="8">
      <formula>E21=""</formula>
    </cfRule>
  </conditionalFormatting>
  <conditionalFormatting sqref="E26:AG28">
    <cfRule type="expression" dxfId="166" priority="7">
      <formula>E26=""</formula>
    </cfRule>
  </conditionalFormatting>
  <conditionalFormatting sqref="E31">
    <cfRule type="expression" dxfId="165" priority="6">
      <formula>E31=""</formula>
    </cfRule>
  </conditionalFormatting>
  <conditionalFormatting sqref="AB18:AG18">
    <cfRule type="expression" dxfId="164" priority="5">
      <formula>AB18=""</formula>
    </cfRule>
  </conditionalFormatting>
  <conditionalFormatting sqref="K6:Q6">
    <cfRule type="expression" dxfId="163" priority="3">
      <formula>K6="Please_Select"</formula>
    </cfRule>
  </conditionalFormatting>
  <conditionalFormatting sqref="D7:D8">
    <cfRule type="expression" dxfId="162" priority="2">
      <formula>$K$5="Controls"</formula>
    </cfRule>
  </conditionalFormatting>
  <conditionalFormatting sqref="K8:Q8">
    <cfRule type="expression" dxfId="161" priority="1">
      <formula>K8="Please_Select"</formula>
    </cfRule>
  </conditionalFormatting>
  <dataValidations count="8">
    <dataValidation type="list" allowBlank="1" showInputMessage="1" showErrorMessage="1" sqref="K3:Q3">
      <formula1>Test_Technician</formula1>
    </dataValidation>
    <dataValidation type="list" allowBlank="1" showInputMessage="1" showErrorMessage="1" sqref="K5:Q5">
      <formula1>Program_Names</formula1>
    </dataValidation>
    <dataValidation type="list" allowBlank="1" showInputMessage="1" showErrorMessage="1" sqref="Z7:AG7">
      <formula1>Test_Description</formula1>
    </dataValidation>
    <dataValidation type="list" allowBlank="1" showInputMessage="1" showErrorMessage="1" sqref="K7:Q7">
      <formula1>IF($K$5="Controls",INDIRECT($K$6),INDIRECT($K$5))</formula1>
    </dataValidation>
    <dataValidation type="list" allowBlank="1" showInputMessage="1" showErrorMessage="1" sqref="K18">
      <formula1>Type_of_Issue</formula1>
    </dataValidation>
    <dataValidation type="list" allowBlank="1" showInputMessage="1" showErrorMessage="1" sqref="K16:Q16">
      <formula1>Anomaly_Owner</formula1>
    </dataValidation>
    <dataValidation type="list" allowBlank="1" showInputMessage="1" showErrorMessage="1" sqref="Z6:AG6">
      <formula1>INDIRECT($K$5&amp;"Test_Rack")</formula1>
    </dataValidation>
    <dataValidation type="list" allowBlank="1" showInputMessage="1" showErrorMessage="1" sqref="K6:Q6">
      <formula1>IF($K$5="Controls",INDIRECT($K$5),$AM$15)</formula1>
    </dataValidation>
  </dataValidations>
  <hyperlinks>
    <hyperlink ref="AO12" location="'Sub-Assy Data Collection'!A1" display="(Go to &quot;Sub-Assy Data Collection&quot; tab and begin the initial data collection steps)"/>
    <hyperlink ref="AO32" location="'Anomaly Owner'!A1" display="(Go to &quot;Anomaly Owner&quot; tab and Review)"/>
    <hyperlink ref="AO16" location="'Anomaly Owner'!A1" display="(Go to &quot;Anomaly Owner&quot; tab and Review)"/>
    <hyperlink ref="AO36" location="'Anomaly Owner'!A1" display="(Go to &quot;Anomaly Owner&quot; tab and Review)"/>
  </hyperlinks>
  <pageMargins left="0.25" right="0.25" top="0.75" bottom="0.75" header="0.3" footer="0.3"/>
  <pageSetup orientation="portrait" r:id="rId1"/>
  <headerFooter>
    <oddHeader>&amp;C&amp;20Anomaly Report</oddHeader>
    <oddFooter>&amp;LFORM: 6803 Rev -&amp;R
Report Generated: &amp;D,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Down Menus'!H6:H29</xm:f>
          </x14:formula1>
          <xm:sqref>K8:Q8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S95"/>
  <sheetViews>
    <sheetView showWhiteSpace="0" view="pageLayout" topLeftCell="A46" zoomScale="115" zoomScaleNormal="100" zoomScalePageLayoutView="115" workbookViewId="0">
      <selection activeCell="A51" sqref="A51:AI95"/>
    </sheetView>
  </sheetViews>
  <sheetFormatPr defaultRowHeight="15" x14ac:dyDescent="0.25"/>
  <cols>
    <col min="1" max="1" width="1.42578125" style="89" customWidth="1"/>
    <col min="2" max="25" width="2.85546875" style="89" customWidth="1"/>
    <col min="26" max="26" width="6.28515625" style="89" customWidth="1"/>
    <col min="27" max="31" width="2.85546875" style="89" customWidth="1"/>
    <col min="32" max="36" width="2.7109375" style="89" customWidth="1"/>
    <col min="37" max="37" width="1.28515625" style="89" customWidth="1"/>
    <col min="38" max="38" width="4" style="89" customWidth="1"/>
    <col min="39" max="39" width="22.28515625" style="90" bestFit="1" customWidth="1"/>
    <col min="40" max="40" width="20.28515625" style="89" customWidth="1"/>
    <col min="41" max="41" width="29" style="89" bestFit="1" customWidth="1"/>
    <col min="42" max="149" width="3" style="89" customWidth="1"/>
    <col min="150" max="16377" width="9.140625" style="89"/>
    <col min="16378" max="16378" width="9.140625" style="89" customWidth="1"/>
    <col min="16379" max="16384" width="9.140625" style="89"/>
  </cols>
  <sheetData>
    <row r="1" spans="1:71" ht="7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pans="1:71" ht="15.75" x14ac:dyDescent="0.25">
      <c r="A2"/>
      <c r="B2" s="62"/>
      <c r="C2" s="29"/>
      <c r="D2" s="29"/>
      <c r="E2" s="29"/>
      <c r="F2" s="63"/>
      <c r="G2" s="63"/>
      <c r="H2" s="2"/>
      <c r="I2" s="2"/>
      <c r="J2" s="2"/>
      <c r="K2" s="2"/>
      <c r="L2" s="29"/>
      <c r="M2" s="29"/>
      <c r="N2" s="29"/>
      <c r="O2" s="29"/>
      <c r="P2" s="29"/>
      <c r="Q2" s="29"/>
      <c r="R2" s="29"/>
      <c r="S2" s="2"/>
      <c r="T2" s="2"/>
      <c r="U2" s="29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3"/>
      <c r="AK2"/>
    </row>
    <row r="3" spans="1:71" ht="15" customHeight="1" x14ac:dyDescent="0.25">
      <c r="A3"/>
      <c r="B3" s="25"/>
      <c r="C3" s="24"/>
      <c r="D3" s="174" t="s">
        <v>140</v>
      </c>
      <c r="E3" s="174"/>
      <c r="F3" s="174"/>
      <c r="G3" s="174"/>
      <c r="H3" s="174"/>
      <c r="I3" s="174"/>
      <c r="J3" s="174"/>
      <c r="K3" s="174"/>
      <c r="L3" s="174"/>
      <c r="M3" s="174"/>
      <c r="N3"/>
      <c r="O3"/>
      <c r="P3"/>
      <c r="Q3"/>
      <c r="R3"/>
      <c r="S3"/>
      <c r="T3"/>
      <c r="U3"/>
      <c r="V3"/>
      <c r="W3"/>
      <c r="X3" s="174" t="s">
        <v>141</v>
      </c>
      <c r="Y3" s="174"/>
      <c r="Z3" s="174"/>
      <c r="AA3" s="174"/>
      <c r="AB3" s="174"/>
      <c r="AC3" s="174"/>
      <c r="AD3" s="174"/>
      <c r="AE3" s="174"/>
      <c r="AF3" s="174"/>
      <c r="AG3" s="174"/>
      <c r="AH3" s="5"/>
      <c r="AI3" s="5"/>
      <c r="AJ3" s="6"/>
      <c r="AK3"/>
      <c r="AM3" s="26" t="s">
        <v>57</v>
      </c>
      <c r="BR3" s="91" t="s">
        <v>221</v>
      </c>
      <c r="BS3" s="92" t="str">
        <f ca="1">MID(CELL("filename"),SEARCH("[",CELL("filename"))+1, SEARCH("]",CELL("filename"))-SEARCH("[",CELL("filename"))-1)</f>
        <v>AR-0136-OCU-Top_Level-SN0034.xlsm</v>
      </c>
    </row>
    <row r="4" spans="1:71" ht="15" customHeight="1" x14ac:dyDescent="0.25">
      <c r="A4"/>
      <c r="B4" s="25"/>
      <c r="C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5"/>
      <c r="O4" s="5"/>
      <c r="P4"/>
      <c r="Q4"/>
      <c r="R4"/>
      <c r="S4"/>
      <c r="T4"/>
      <c r="U4"/>
      <c r="V4"/>
      <c r="W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5"/>
      <c r="AI4" s="5"/>
      <c r="AJ4" s="6"/>
      <c r="AK4"/>
      <c r="AM4" s="27" t="s">
        <v>391</v>
      </c>
    </row>
    <row r="5" spans="1:71" x14ac:dyDescent="0.25">
      <c r="A5"/>
      <c r="B5" s="23"/>
      <c r="C5" s="22"/>
      <c r="D5" s="174"/>
      <c r="E5" s="174"/>
      <c r="F5" s="174"/>
      <c r="G5" s="174"/>
      <c r="H5" s="174"/>
      <c r="I5" s="174"/>
      <c r="J5" s="174"/>
      <c r="K5" s="174"/>
      <c r="L5" s="174"/>
      <c r="M5" s="174"/>
      <c r="N5"/>
      <c r="O5"/>
      <c r="P5"/>
      <c r="Q5"/>
      <c r="R5"/>
      <c r="S5"/>
      <c r="T5"/>
      <c r="U5"/>
      <c r="V5"/>
      <c r="W5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5"/>
      <c r="AI5" s="5"/>
      <c r="AJ5" s="6"/>
      <c r="AK5"/>
      <c r="AM5" s="28" t="s">
        <v>58</v>
      </c>
    </row>
    <row r="6" spans="1:71" x14ac:dyDescent="0.25">
      <c r="A6"/>
      <c r="B6" s="4"/>
      <c r="C6" s="5"/>
      <c r="D6" s="5"/>
      <c r="E6" s="5"/>
      <c r="F6" s="5"/>
      <c r="G6" s="5"/>
      <c r="H6" s="181"/>
      <c r="I6" s="182"/>
      <c r="J6" s="5"/>
      <c r="K6" s="5"/>
      <c r="L6" s="5"/>
      <c r="M6" s="5"/>
      <c r="N6" s="5"/>
      <c r="O6" s="5"/>
      <c r="P6"/>
      <c r="Q6"/>
      <c r="R6"/>
      <c r="S6"/>
      <c r="T6"/>
      <c r="U6"/>
      <c r="V6"/>
      <c r="W6"/>
      <c r="X6" s="5"/>
      <c r="Y6" s="5"/>
      <c r="Z6" s="5"/>
      <c r="AA6" s="5"/>
      <c r="AB6" s="181"/>
      <c r="AC6" s="182"/>
      <c r="AD6" s="5"/>
      <c r="AE6" s="5"/>
      <c r="AF6" s="5"/>
      <c r="AG6" s="5"/>
      <c r="AH6" s="5"/>
      <c r="AI6" s="5"/>
      <c r="AJ6" s="6"/>
      <c r="AK6"/>
    </row>
    <row r="7" spans="1:71" ht="15" customHeight="1" x14ac:dyDescent="0.25">
      <c r="A7"/>
      <c r="B7" s="4"/>
      <c r="C7" s="5"/>
      <c r="D7" s="5"/>
      <c r="E7" s="5"/>
      <c r="F7" s="5"/>
      <c r="G7" s="5"/>
      <c r="H7" s="183"/>
      <c r="I7" s="184"/>
      <c r="J7" s="5"/>
      <c r="K7" s="5"/>
      <c r="L7" s="5"/>
      <c r="M7" s="5"/>
      <c r="N7" s="175" t="s">
        <v>396</v>
      </c>
      <c r="O7" s="175"/>
      <c r="P7" s="175"/>
      <c r="Q7" s="175"/>
      <c r="R7" s="175"/>
      <c r="S7" s="175"/>
      <c r="T7" s="175"/>
      <c r="U7" s="175"/>
      <c r="V7" s="175"/>
      <c r="W7" s="175"/>
      <c r="X7" s="5"/>
      <c r="Y7" s="5"/>
      <c r="Z7" s="5"/>
      <c r="AA7" s="5"/>
      <c r="AB7" s="183"/>
      <c r="AC7" s="184"/>
      <c r="AD7" s="5"/>
      <c r="AE7" s="5"/>
      <c r="AF7" s="5"/>
      <c r="AG7" s="5"/>
      <c r="AH7" s="5"/>
      <c r="AI7" s="5"/>
      <c r="AJ7" s="6"/>
      <c r="AK7"/>
    </row>
    <row r="8" spans="1:71" x14ac:dyDescent="0.25">
      <c r="A8"/>
      <c r="B8" s="4"/>
      <c r="C8" s="5"/>
      <c r="D8"/>
      <c r="E8"/>
      <c r="F8"/>
      <c r="G8"/>
      <c r="H8"/>
      <c r="I8"/>
      <c r="J8"/>
      <c r="K8"/>
      <c r="L8"/>
      <c r="M8"/>
      <c r="N8" s="175"/>
      <c r="O8" s="175"/>
      <c r="P8" s="175"/>
      <c r="Q8" s="175"/>
      <c r="R8" s="175"/>
      <c r="S8" s="175"/>
      <c r="T8" s="175"/>
      <c r="U8" s="175"/>
      <c r="V8" s="175"/>
      <c r="W8" s="175"/>
      <c r="X8"/>
      <c r="Y8"/>
      <c r="Z8"/>
      <c r="AA8"/>
      <c r="AB8"/>
      <c r="AC8"/>
      <c r="AD8"/>
      <c r="AE8"/>
      <c r="AF8"/>
      <c r="AG8" s="5"/>
      <c r="AH8" s="5"/>
      <c r="AI8" s="5"/>
      <c r="AJ8" s="6"/>
      <c r="AK8"/>
    </row>
    <row r="9" spans="1:71" x14ac:dyDescent="0.25">
      <c r="A9"/>
      <c r="B9" s="4"/>
      <c r="C9" s="5"/>
      <c r="D9"/>
      <c r="E9"/>
      <c r="F9"/>
      <c r="G9"/>
      <c r="H9"/>
      <c r="I9"/>
      <c r="J9"/>
      <c r="K9"/>
      <c r="L9"/>
      <c r="M9"/>
      <c r="N9" s="175"/>
      <c r="O9" s="175"/>
      <c r="P9" s="175"/>
      <c r="Q9" s="175"/>
      <c r="R9" s="175"/>
      <c r="S9" s="175"/>
      <c r="T9" s="175"/>
      <c r="U9" s="175"/>
      <c r="V9" s="175"/>
      <c r="W9" s="175"/>
      <c r="X9"/>
      <c r="Y9"/>
      <c r="Z9"/>
      <c r="AA9"/>
      <c r="AB9"/>
      <c r="AC9"/>
      <c r="AD9"/>
      <c r="AE9"/>
      <c r="AF9"/>
      <c r="AG9" s="65"/>
      <c r="AH9" s="5"/>
      <c r="AI9" s="5"/>
      <c r="AJ9" s="6"/>
      <c r="AK9"/>
    </row>
    <row r="10" spans="1:71" x14ac:dyDescent="0.25">
      <c r="A10"/>
      <c r="B10" s="4"/>
      <c r="C10" s="5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 s="5"/>
      <c r="AH10" s="5"/>
      <c r="AI10" s="5"/>
      <c r="AJ10" s="6"/>
      <c r="AK10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</row>
    <row r="11" spans="1:71" x14ac:dyDescent="0.25">
      <c r="A11"/>
      <c r="B11" s="4"/>
      <c r="C11" s="5"/>
      <c r="D11" s="139" t="s">
        <v>207</v>
      </c>
      <c r="E11" s="139"/>
      <c r="F11" s="139"/>
      <c r="G11" s="139"/>
      <c r="H11" s="139"/>
      <c r="I11" s="140"/>
      <c r="J11" s="141" t="s">
        <v>21</v>
      </c>
      <c r="K11" s="142"/>
      <c r="L11" s="142"/>
      <c r="M11" s="142"/>
      <c r="N11" s="142"/>
      <c r="O11" s="143"/>
      <c r="P11"/>
      <c r="Q11"/>
      <c r="R11"/>
      <c r="S11"/>
      <c r="T11"/>
      <c r="U11" s="139" t="s">
        <v>196</v>
      </c>
      <c r="V11" s="139"/>
      <c r="W11" s="139"/>
      <c r="X11" s="139"/>
      <c r="Y11" s="139"/>
      <c r="Z11" s="140"/>
      <c r="AA11" s="161"/>
      <c r="AB11" s="161"/>
      <c r="AC11" s="161"/>
      <c r="AD11" s="161"/>
      <c r="AE11" s="161"/>
      <c r="AF11" s="161"/>
      <c r="AG11" s="64"/>
      <c r="AH11" s="5"/>
      <c r="AI11" s="5"/>
      <c r="AJ11" s="6"/>
      <c r="AK11"/>
      <c r="AN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95"/>
      <c r="BB11" s="95"/>
      <c r="BC11" s="103"/>
      <c r="BD11" s="103"/>
      <c r="BE11" s="103"/>
      <c r="BF11" s="103"/>
      <c r="BG11" s="90"/>
      <c r="BH11" s="103"/>
      <c r="BI11" s="104"/>
      <c r="BJ11" s="104"/>
      <c r="BK11" s="104"/>
    </row>
    <row r="12" spans="1:71" x14ac:dyDescent="0.25">
      <c r="A12"/>
      <c r="B12" s="4"/>
      <c r="C12" s="5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 s="179" t="s">
        <v>197</v>
      </c>
      <c r="V12" s="179"/>
      <c r="W12" s="179"/>
      <c r="X12" s="179"/>
      <c r="Y12" s="179"/>
      <c r="Z12" s="180"/>
      <c r="AA12" s="159"/>
      <c r="AB12" s="159"/>
      <c r="AC12" s="159"/>
      <c r="AD12" s="159"/>
      <c r="AE12" s="159"/>
      <c r="AF12" s="159"/>
      <c r="AG12" s="48"/>
      <c r="AH12" s="5"/>
      <c r="AI12" s="5"/>
      <c r="AJ12" s="6"/>
      <c r="AK12"/>
      <c r="AN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102"/>
      <c r="BH12" s="95"/>
      <c r="BI12" s="95"/>
      <c r="BJ12" s="95"/>
      <c r="BK12" s="95"/>
    </row>
    <row r="13" spans="1:71" ht="15" customHeight="1" x14ac:dyDescent="0.25">
      <c r="A13"/>
      <c r="B13" s="4"/>
      <c r="C13" s="5"/>
      <c r="D13" s="194" t="s">
        <v>389</v>
      </c>
      <c r="E13" s="194"/>
      <c r="F13" s="194"/>
      <c r="G13" s="194"/>
      <c r="H13" s="194"/>
      <c r="I13" s="195"/>
      <c r="J13" s="185"/>
      <c r="K13" s="186"/>
      <c r="L13" s="186"/>
      <c r="M13" s="186"/>
      <c r="N13" s="186"/>
      <c r="O13" s="187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 s="48"/>
      <c r="AH13" s="5"/>
      <c r="AI13" s="5"/>
      <c r="AJ13" s="6"/>
      <c r="AK13"/>
      <c r="AN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95"/>
      <c r="BB13" s="95"/>
      <c r="BC13" s="105"/>
      <c r="BD13" s="105"/>
      <c r="BE13" s="105"/>
      <c r="BF13" s="105"/>
      <c r="BG13" s="90"/>
      <c r="BH13" s="105"/>
      <c r="BI13" s="105"/>
      <c r="BJ13" s="105"/>
      <c r="BK13" s="105"/>
    </row>
    <row r="14" spans="1:71" x14ac:dyDescent="0.25">
      <c r="A14"/>
      <c r="B14" s="4"/>
      <c r="C14" s="5"/>
      <c r="D14" s="194"/>
      <c r="E14" s="194"/>
      <c r="F14" s="194"/>
      <c r="G14" s="194"/>
      <c r="H14" s="194"/>
      <c r="I14" s="195"/>
      <c r="J14" s="188"/>
      <c r="K14" s="189"/>
      <c r="L14" s="189"/>
      <c r="M14" s="189"/>
      <c r="N14" s="189"/>
      <c r="O14" s="190"/>
      <c r="P14"/>
      <c r="Q14"/>
      <c r="R14"/>
      <c r="S14"/>
      <c r="T14"/>
      <c r="U14" s="179" t="s">
        <v>435</v>
      </c>
      <c r="V14" s="179"/>
      <c r="W14" s="179"/>
      <c r="X14" s="179"/>
      <c r="Y14" s="179"/>
      <c r="Z14" s="180"/>
      <c r="AA14" s="161"/>
      <c r="AB14" s="161"/>
      <c r="AC14" s="161"/>
      <c r="AD14" s="161"/>
      <c r="AE14" s="161"/>
      <c r="AF14" s="161"/>
      <c r="AG14" s="48"/>
      <c r="AH14" s="5"/>
      <c r="AI14" s="5"/>
      <c r="AJ14" s="6"/>
      <c r="AK14"/>
      <c r="AN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95"/>
      <c r="BB14" s="95"/>
      <c r="BC14" s="106"/>
      <c r="BD14" s="106"/>
      <c r="BE14" s="106"/>
      <c r="BF14" s="106"/>
      <c r="BG14" s="90"/>
      <c r="BH14" s="106"/>
      <c r="BI14" s="106"/>
      <c r="BJ14" s="106"/>
      <c r="BK14" s="106"/>
    </row>
    <row r="15" spans="1:71" x14ac:dyDescent="0.25">
      <c r="A15"/>
      <c r="B15" s="4"/>
      <c r="C15" s="5"/>
      <c r="D15" s="194"/>
      <c r="E15" s="194"/>
      <c r="F15" s="194"/>
      <c r="G15" s="194"/>
      <c r="H15" s="194"/>
      <c r="I15" s="195"/>
      <c r="J15" s="191"/>
      <c r="K15" s="192"/>
      <c r="L15" s="192"/>
      <c r="M15" s="192"/>
      <c r="N15" s="192"/>
      <c r="O15" s="193"/>
      <c r="P15"/>
      <c r="Q15"/>
      <c r="R15"/>
      <c r="S15"/>
      <c r="T15"/>
      <c r="U15" s="179"/>
      <c r="V15" s="179"/>
      <c r="W15" s="179"/>
      <c r="X15" s="179"/>
      <c r="Y15" s="179"/>
      <c r="Z15" s="180"/>
      <c r="AA15" s="159"/>
      <c r="AB15" s="159"/>
      <c r="AC15" s="159"/>
      <c r="AD15" s="159"/>
      <c r="AE15" s="159"/>
      <c r="AF15" s="159"/>
      <c r="AG15" s="5"/>
      <c r="AH15" s="5"/>
      <c r="AI15" s="5"/>
      <c r="AJ15" s="6"/>
      <c r="AK15"/>
      <c r="AN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95"/>
      <c r="BB15" s="95"/>
      <c r="BC15" s="106"/>
      <c r="BD15" s="106"/>
      <c r="BE15" s="106"/>
      <c r="BF15" s="106"/>
      <c r="BG15" s="90"/>
      <c r="BH15" s="106"/>
      <c r="BI15" s="106"/>
      <c r="BJ15" s="106"/>
      <c r="BK15" s="106"/>
    </row>
    <row r="16" spans="1:71" ht="15" customHeight="1" x14ac:dyDescent="0.25">
      <c r="A16"/>
      <c r="B16" s="4"/>
      <c r="C16" s="5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 s="5"/>
      <c r="AH16" s="5"/>
      <c r="AI16" s="5"/>
      <c r="AJ16" s="6"/>
      <c r="AK16"/>
      <c r="AN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95"/>
      <c r="BB16" s="95"/>
      <c r="BC16" s="106"/>
      <c r="BD16" s="106"/>
      <c r="BE16" s="106"/>
      <c r="BF16" s="106"/>
      <c r="BG16" s="102"/>
      <c r="BH16" s="106"/>
      <c r="BI16" s="106"/>
      <c r="BJ16" s="106"/>
      <c r="BK16" s="106"/>
    </row>
    <row r="17" spans="1:63" x14ac:dyDescent="0.25">
      <c r="A17"/>
      <c r="B17" s="4"/>
      <c r="C17" s="5"/>
      <c r="D17" s="196" t="s">
        <v>393</v>
      </c>
      <c r="E17" s="196"/>
      <c r="F17" s="196"/>
      <c r="G17" s="196"/>
      <c r="H17" s="196"/>
      <c r="I17" s="197"/>
      <c r="J17" s="185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7"/>
      <c r="AG17" s="5"/>
      <c r="AH17" s="5"/>
      <c r="AI17" s="5"/>
      <c r="AJ17" s="6"/>
      <c r="AK17"/>
      <c r="AN17" s="103"/>
      <c r="AO17" s="90"/>
      <c r="AP17" s="103"/>
      <c r="AQ17" s="103"/>
      <c r="AR17" s="103"/>
      <c r="AS17" s="103"/>
      <c r="AT17" s="107"/>
      <c r="AU17" s="107"/>
      <c r="AV17" s="107"/>
      <c r="AW17" s="107"/>
      <c r="AX17" s="107"/>
      <c r="AY17" s="107"/>
      <c r="AZ17" s="107"/>
      <c r="BA17" s="103"/>
      <c r="BB17" s="103"/>
      <c r="BC17" s="95"/>
      <c r="BD17" s="95"/>
      <c r="BE17" s="95"/>
      <c r="BF17" s="95"/>
      <c r="BG17" s="90"/>
      <c r="BH17" s="95"/>
      <c r="BI17" s="95"/>
      <c r="BJ17" s="95"/>
      <c r="BK17" s="95"/>
    </row>
    <row r="18" spans="1:63" x14ac:dyDescent="0.25">
      <c r="A18"/>
      <c r="B18" s="4"/>
      <c r="C18" s="5"/>
      <c r="D18" s="196"/>
      <c r="E18" s="196"/>
      <c r="F18" s="196"/>
      <c r="G18" s="196"/>
      <c r="H18" s="196"/>
      <c r="I18" s="197"/>
      <c r="J18" s="188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90"/>
      <c r="AG18" s="66"/>
      <c r="AH18" s="5"/>
      <c r="AI18" s="5"/>
      <c r="AJ18" s="6"/>
      <c r="AK18"/>
      <c r="AN18" s="95"/>
      <c r="AO18" s="90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105"/>
      <c r="BD18" s="105"/>
      <c r="BE18" s="95"/>
      <c r="BF18" s="95"/>
      <c r="BG18" s="90"/>
      <c r="BH18" s="95"/>
      <c r="BI18" s="95"/>
      <c r="BJ18" s="95"/>
      <c r="BK18" s="95"/>
    </row>
    <row r="19" spans="1:63" x14ac:dyDescent="0.25">
      <c r="A19"/>
      <c r="B19" s="4"/>
      <c r="C19" s="5"/>
      <c r="D19" s="5"/>
      <c r="E19" s="5"/>
      <c r="F19" s="5"/>
      <c r="G19" s="5"/>
      <c r="H19" s="5"/>
      <c r="I19" s="5"/>
      <c r="J19" s="188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190"/>
      <c r="AG19" s="5"/>
      <c r="AH19" s="5"/>
      <c r="AI19" s="5"/>
      <c r="AJ19" s="6"/>
      <c r="AK19"/>
      <c r="AN19" s="105"/>
      <c r="AO19" s="90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8"/>
      <c r="BD19" s="108"/>
      <c r="BE19" s="95"/>
      <c r="BF19" s="95"/>
      <c r="BG19" s="90"/>
      <c r="BH19" s="95"/>
      <c r="BI19" s="95"/>
      <c r="BJ19" s="95"/>
      <c r="BK19" s="95"/>
    </row>
    <row r="20" spans="1:63" ht="15" customHeight="1" x14ac:dyDescent="0.25">
      <c r="A20"/>
      <c r="B20" s="4"/>
      <c r="C20" s="5"/>
      <c r="D20" s="174" t="s">
        <v>394</v>
      </c>
      <c r="E20" s="174"/>
      <c r="F20" s="174"/>
      <c r="G20" s="174"/>
      <c r="H20" s="174"/>
      <c r="I20" s="198"/>
      <c r="J20" s="188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90"/>
      <c r="AG20" s="5"/>
      <c r="AH20" s="5"/>
      <c r="AI20" s="5"/>
      <c r="AJ20" s="6"/>
      <c r="AK20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</row>
    <row r="21" spans="1:63" x14ac:dyDescent="0.25">
      <c r="A21"/>
      <c r="B21" s="4"/>
      <c r="C21" s="5"/>
      <c r="D21" s="174"/>
      <c r="E21" s="174"/>
      <c r="F21" s="174"/>
      <c r="G21" s="174"/>
      <c r="H21" s="174"/>
      <c r="I21" s="198"/>
      <c r="J21" s="188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  <c r="AA21" s="189"/>
      <c r="AB21" s="189"/>
      <c r="AC21" s="189"/>
      <c r="AD21" s="189"/>
      <c r="AE21" s="189"/>
      <c r="AF21" s="190"/>
      <c r="AG21" s="48"/>
      <c r="AH21" s="5"/>
      <c r="AI21" s="5"/>
      <c r="AJ21" s="6"/>
      <c r="AK21"/>
      <c r="AM21" s="89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</row>
    <row r="22" spans="1:63" x14ac:dyDescent="0.25">
      <c r="A22"/>
      <c r="B22" s="4"/>
      <c r="C22" s="5"/>
      <c r="D22" s="174"/>
      <c r="E22" s="174"/>
      <c r="F22" s="174"/>
      <c r="G22" s="174"/>
      <c r="H22" s="174"/>
      <c r="I22" s="198"/>
      <c r="J22" s="188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90"/>
      <c r="AG22" s="48"/>
      <c r="AH22" s="5"/>
      <c r="AI22" s="5"/>
      <c r="AJ22" s="6"/>
      <c r="AK22"/>
      <c r="AM22" s="90" t="s">
        <v>199</v>
      </c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</row>
    <row r="23" spans="1:63" x14ac:dyDescent="0.25">
      <c r="A23"/>
      <c r="B23" s="4"/>
      <c r="C23" s="5"/>
      <c r="D23" s="171" t="s">
        <v>395</v>
      </c>
      <c r="E23" s="171"/>
      <c r="F23" s="171"/>
      <c r="G23" s="171"/>
      <c r="H23" s="171"/>
      <c r="I23" s="172"/>
      <c r="J23" s="188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89"/>
      <c r="W23" s="189"/>
      <c r="X23" s="189"/>
      <c r="Y23" s="189"/>
      <c r="Z23" s="189"/>
      <c r="AA23" s="189"/>
      <c r="AB23" s="189"/>
      <c r="AC23" s="189"/>
      <c r="AD23" s="189"/>
      <c r="AE23" s="189"/>
      <c r="AF23" s="190"/>
      <c r="AG23" s="48"/>
      <c r="AH23" s="5"/>
      <c r="AI23" s="5"/>
      <c r="AJ23" s="6"/>
      <c r="AK23"/>
      <c r="AM23" s="109" t="s">
        <v>198</v>
      </c>
      <c r="AN23" s="95"/>
      <c r="AO23" s="95"/>
      <c r="AP23" s="95"/>
      <c r="AQ23" s="95"/>
      <c r="AR23" s="95"/>
      <c r="AS23" s="95"/>
      <c r="AT23" s="95"/>
      <c r="AU23" s="95"/>
      <c r="AV23" s="103"/>
      <c r="AW23" s="103"/>
      <c r="AX23" s="95"/>
      <c r="AY23" s="95"/>
      <c r="AZ23" s="95"/>
      <c r="BA23" s="95"/>
      <c r="BB23" s="95"/>
    </row>
    <row r="24" spans="1:63" x14ac:dyDescent="0.25">
      <c r="A24"/>
      <c r="B24" s="4"/>
      <c r="C24" s="5"/>
      <c r="D24" s="5"/>
      <c r="E24" s="24"/>
      <c r="F24" s="24"/>
      <c r="G24" s="24"/>
      <c r="H24" s="24"/>
      <c r="I24" s="24"/>
      <c r="J24" s="188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90"/>
      <c r="AG24" s="5"/>
      <c r="AH24" s="5"/>
      <c r="AI24" s="5"/>
      <c r="AJ24" s="6"/>
      <c r="AK24"/>
    </row>
    <row r="25" spans="1:63" x14ac:dyDescent="0.25">
      <c r="A25"/>
      <c r="B25" s="4"/>
      <c r="C25" s="5"/>
      <c r="D25"/>
      <c r="E25" s="24"/>
      <c r="F25" s="24"/>
      <c r="G25" s="24"/>
      <c r="H25" s="24"/>
      <c r="I25" s="24"/>
      <c r="J25" s="188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  <c r="AA25" s="189"/>
      <c r="AB25" s="189"/>
      <c r="AC25" s="189"/>
      <c r="AD25" s="189"/>
      <c r="AE25" s="189"/>
      <c r="AF25" s="190"/>
      <c r="AG25" s="5"/>
      <c r="AH25" s="5"/>
      <c r="AI25" s="5"/>
      <c r="AJ25" s="6"/>
      <c r="AK25"/>
    </row>
    <row r="26" spans="1:63" x14ac:dyDescent="0.25">
      <c r="A26"/>
      <c r="B26" s="4"/>
      <c r="C26" s="5"/>
      <c r="D26"/>
      <c r="E26" s="24"/>
      <c r="F26" s="24"/>
      <c r="G26" s="24"/>
      <c r="H26" s="24"/>
      <c r="I26" s="24"/>
      <c r="J26" s="18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89"/>
      <c r="Z26" s="189"/>
      <c r="AA26" s="189"/>
      <c r="AB26" s="189"/>
      <c r="AC26" s="189"/>
      <c r="AD26" s="189"/>
      <c r="AE26" s="189"/>
      <c r="AF26" s="190"/>
      <c r="AG26" s="48"/>
      <c r="AH26" s="5"/>
      <c r="AI26" s="5"/>
      <c r="AJ26" s="6"/>
      <c r="AK26"/>
      <c r="AM26" s="90" t="s">
        <v>200</v>
      </c>
    </row>
    <row r="27" spans="1:63" x14ac:dyDescent="0.25">
      <c r="A27"/>
      <c r="B27" s="4"/>
      <c r="C27" s="5"/>
      <c r="D27"/>
      <c r="E27" s="24"/>
      <c r="F27" s="24"/>
      <c r="G27" s="24"/>
      <c r="H27" s="24"/>
      <c r="I27" s="24"/>
      <c r="J27" s="188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89"/>
      <c r="W27" s="189"/>
      <c r="X27" s="189"/>
      <c r="Y27" s="189"/>
      <c r="Z27" s="189"/>
      <c r="AA27" s="189"/>
      <c r="AB27" s="189"/>
      <c r="AC27" s="189"/>
      <c r="AD27" s="189"/>
      <c r="AE27" s="189"/>
      <c r="AF27" s="190"/>
      <c r="AG27" s="48"/>
      <c r="AH27" s="5"/>
      <c r="AI27" s="5"/>
      <c r="AJ27" s="6"/>
      <c r="AK27"/>
      <c r="AM27" s="109" t="s">
        <v>198</v>
      </c>
    </row>
    <row r="28" spans="1:63" x14ac:dyDescent="0.25">
      <c r="A28"/>
      <c r="B28" s="4"/>
      <c r="C28" s="5"/>
      <c r="D28"/>
      <c r="E28" s="5"/>
      <c r="F28" s="5"/>
      <c r="G28" s="5"/>
      <c r="H28" s="5"/>
      <c r="I28" s="5"/>
      <c r="J28" s="188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D28" s="189"/>
      <c r="AE28" s="189"/>
      <c r="AF28" s="190"/>
      <c r="AG28" s="48"/>
      <c r="AH28" s="5"/>
      <c r="AI28" s="5"/>
      <c r="AJ28" s="6"/>
      <c r="AK28"/>
      <c r="AM28" s="89"/>
    </row>
    <row r="29" spans="1:63" x14ac:dyDescent="0.25">
      <c r="A29"/>
      <c r="B29" s="4"/>
      <c r="C29" s="5"/>
      <c r="D29"/>
      <c r="E29" s="64"/>
      <c r="F29" s="64"/>
      <c r="G29" s="64"/>
      <c r="H29" s="64"/>
      <c r="I29" s="64"/>
      <c r="J29" s="188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  <c r="AC29" s="189"/>
      <c r="AD29" s="189"/>
      <c r="AE29" s="189"/>
      <c r="AF29" s="190"/>
      <c r="AG29" s="5"/>
      <c r="AH29" s="5"/>
      <c r="AI29" s="5"/>
      <c r="AJ29" s="6"/>
      <c r="AK29"/>
      <c r="AM29" s="89"/>
    </row>
    <row r="30" spans="1:63" x14ac:dyDescent="0.25">
      <c r="A30"/>
      <c r="B30" s="4"/>
      <c r="C30" s="5"/>
      <c r="D30"/>
      <c r="E30" s="48"/>
      <c r="F30" s="48"/>
      <c r="G30" s="48"/>
      <c r="H30" s="48"/>
      <c r="I30" s="48"/>
      <c r="J30" s="188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/>
      <c r="AE30" s="189"/>
      <c r="AF30" s="190"/>
      <c r="AG30" s="5"/>
      <c r="AH30" s="5"/>
      <c r="AI30" s="5"/>
      <c r="AJ30" s="6"/>
      <c r="AK30"/>
      <c r="AM30" s="89" t="s">
        <v>398</v>
      </c>
    </row>
    <row r="31" spans="1:63" ht="18.75" x14ac:dyDescent="0.3">
      <c r="A31"/>
      <c r="B31" s="4"/>
      <c r="C31" s="5"/>
      <c r="D31"/>
      <c r="E31" s="48"/>
      <c r="F31" s="48"/>
      <c r="G31" s="48"/>
      <c r="H31" s="48"/>
      <c r="I31" s="48"/>
      <c r="J31" s="188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  <c r="AC31" s="189"/>
      <c r="AD31" s="189"/>
      <c r="AE31" s="189"/>
      <c r="AF31" s="190"/>
      <c r="AG31" s="48"/>
      <c r="AH31" s="5"/>
      <c r="AI31" s="5"/>
      <c r="AJ31" s="6"/>
      <c r="AK31"/>
      <c r="AM31" s="111" t="s">
        <v>399</v>
      </c>
    </row>
    <row r="32" spans="1:63" x14ac:dyDescent="0.25">
      <c r="A32"/>
      <c r="B32" s="4"/>
      <c r="C32" s="5"/>
      <c r="D32"/>
      <c r="E32" s="48"/>
      <c r="F32" s="48"/>
      <c r="G32" s="48"/>
      <c r="H32" s="48"/>
      <c r="I32" s="48"/>
      <c r="J32" s="188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189"/>
      <c r="AA32" s="189"/>
      <c r="AB32" s="189"/>
      <c r="AC32" s="189"/>
      <c r="AD32" s="189"/>
      <c r="AE32" s="189"/>
      <c r="AF32" s="190"/>
      <c r="AG32" s="48"/>
      <c r="AH32" s="5"/>
      <c r="AI32" s="5"/>
      <c r="AJ32" s="6"/>
      <c r="AK32"/>
    </row>
    <row r="33" spans="1:39" x14ac:dyDescent="0.25">
      <c r="A33"/>
      <c r="B33" s="4"/>
      <c r="C33" s="5"/>
      <c r="D33"/>
      <c r="E33" s="5"/>
      <c r="F33" s="5"/>
      <c r="G33" s="5"/>
      <c r="H33" s="5"/>
      <c r="I33" s="5"/>
      <c r="J33" s="188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90"/>
      <c r="AG33" s="48"/>
      <c r="AH33" s="5"/>
      <c r="AI33" s="5"/>
      <c r="AJ33" s="6"/>
      <c r="AK33"/>
    </row>
    <row r="34" spans="1:39" x14ac:dyDescent="0.25">
      <c r="A34"/>
      <c r="B34" s="4"/>
      <c r="C34" s="5"/>
      <c r="D34" s="5"/>
      <c r="E34" s="5"/>
      <c r="F34" s="24"/>
      <c r="G34" s="24"/>
      <c r="H34" s="24"/>
      <c r="I34" s="24"/>
      <c r="J34" s="188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90"/>
      <c r="AG34" s="48"/>
      <c r="AH34" s="5"/>
      <c r="AI34" s="5"/>
      <c r="AJ34" s="6"/>
      <c r="AK34"/>
    </row>
    <row r="35" spans="1:39" x14ac:dyDescent="0.25">
      <c r="A35"/>
      <c r="B35" s="4"/>
      <c r="C35" s="5"/>
      <c r="D35" s="5"/>
      <c r="E35" s="5"/>
      <c r="F35" s="5"/>
      <c r="G35" s="48"/>
      <c r="H35" s="47"/>
      <c r="I35" s="47"/>
      <c r="J35" s="188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90"/>
      <c r="AG35" s="48"/>
      <c r="AH35" s="5"/>
      <c r="AI35" s="5"/>
      <c r="AJ35" s="6"/>
      <c r="AK35"/>
      <c r="AM35" s="110" t="s">
        <v>397</v>
      </c>
    </row>
    <row r="36" spans="1:39" x14ac:dyDescent="0.25">
      <c r="A36"/>
      <c r="B36" s="4"/>
      <c r="C36" s="5"/>
      <c r="D36" s="5"/>
      <c r="E36" s="5"/>
      <c r="F36" s="5"/>
      <c r="G36" s="24"/>
      <c r="H36" s="24"/>
      <c r="I36" s="24"/>
      <c r="J36" s="188"/>
      <c r="K36" s="189"/>
      <c r="L36" s="189"/>
      <c r="M36" s="189"/>
      <c r="N36" s="189"/>
      <c r="O36" s="189"/>
      <c r="P36" s="189"/>
      <c r="Q36" s="189"/>
      <c r="R36" s="189"/>
      <c r="S36" s="189"/>
      <c r="T36" s="189"/>
      <c r="U36" s="189"/>
      <c r="V36" s="189"/>
      <c r="W36" s="189"/>
      <c r="X36" s="189"/>
      <c r="Y36" s="189"/>
      <c r="Z36" s="189"/>
      <c r="AA36" s="189"/>
      <c r="AB36" s="189"/>
      <c r="AC36" s="189"/>
      <c r="AD36" s="189"/>
      <c r="AE36" s="189"/>
      <c r="AF36" s="190"/>
      <c r="AG36" s="48"/>
      <c r="AH36" s="5"/>
      <c r="AI36" s="5"/>
      <c r="AJ36" s="6"/>
      <c r="AK36"/>
      <c r="AM36" s="89" t="s">
        <v>206</v>
      </c>
    </row>
    <row r="37" spans="1:39" x14ac:dyDescent="0.25">
      <c r="A37"/>
      <c r="B37" s="4"/>
      <c r="C37" s="5"/>
      <c r="D37" s="5"/>
      <c r="E37" s="48"/>
      <c r="F37" s="48"/>
      <c r="G37" s="48"/>
      <c r="H37" s="48"/>
      <c r="I37" s="48"/>
      <c r="J37" s="188"/>
      <c r="K37" s="189"/>
      <c r="L37" s="189"/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90"/>
      <c r="AG37" s="48"/>
      <c r="AH37" s="5"/>
      <c r="AI37" s="5"/>
      <c r="AJ37" s="6"/>
      <c r="AK37"/>
      <c r="AM37" s="89" t="s">
        <v>202</v>
      </c>
    </row>
    <row r="38" spans="1:39" x14ac:dyDescent="0.25">
      <c r="A38"/>
      <c r="B38" s="4"/>
      <c r="C38" s="5"/>
      <c r="D38" s="5"/>
      <c r="E38" s="48"/>
      <c r="F38" s="48"/>
      <c r="G38" s="48"/>
      <c r="H38" s="48"/>
      <c r="I38" s="48"/>
      <c r="J38" s="188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90"/>
      <c r="AG38" s="48"/>
      <c r="AH38" s="5"/>
      <c r="AI38" s="5"/>
      <c r="AJ38" s="6"/>
      <c r="AK38"/>
      <c r="AM38" s="89" t="s">
        <v>203</v>
      </c>
    </row>
    <row r="39" spans="1:39" x14ac:dyDescent="0.25">
      <c r="A39"/>
      <c r="B39" s="4"/>
      <c r="C39" s="5"/>
      <c r="D39" s="5"/>
      <c r="E39" s="48"/>
      <c r="F39" s="48"/>
      <c r="G39" s="48"/>
      <c r="H39" s="48"/>
      <c r="I39" s="48"/>
      <c r="J39" s="188"/>
      <c r="K39" s="189"/>
      <c r="L39" s="189"/>
      <c r="M39" s="189"/>
      <c r="N39" s="189"/>
      <c r="O39" s="189"/>
      <c r="P39" s="189"/>
      <c r="Q39" s="189"/>
      <c r="R39" s="189"/>
      <c r="S39" s="189"/>
      <c r="T39" s="189"/>
      <c r="U39" s="189"/>
      <c r="V39" s="189"/>
      <c r="W39" s="189"/>
      <c r="X39" s="189"/>
      <c r="Y39" s="189"/>
      <c r="Z39" s="189"/>
      <c r="AA39" s="189"/>
      <c r="AB39" s="189"/>
      <c r="AC39" s="189"/>
      <c r="AD39" s="189"/>
      <c r="AE39" s="189"/>
      <c r="AF39" s="190"/>
      <c r="AG39" s="48"/>
      <c r="AH39" s="5"/>
      <c r="AI39" s="5"/>
      <c r="AJ39" s="6"/>
      <c r="AK39"/>
      <c r="AM39" s="89" t="s">
        <v>204</v>
      </c>
    </row>
    <row r="40" spans="1:39" x14ac:dyDescent="0.25">
      <c r="A40"/>
      <c r="B40" s="4"/>
      <c r="C40" s="5"/>
      <c r="D40" s="5"/>
      <c r="E40" s="5"/>
      <c r="F40" s="5"/>
      <c r="G40" s="5"/>
      <c r="H40" s="5"/>
      <c r="I40" s="5"/>
      <c r="J40" s="188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90"/>
      <c r="AG40" s="5"/>
      <c r="AH40" s="5"/>
      <c r="AI40" s="5"/>
      <c r="AJ40" s="6"/>
      <c r="AK40"/>
      <c r="AM40" s="89" t="s">
        <v>205</v>
      </c>
    </row>
    <row r="41" spans="1:39" x14ac:dyDescent="0.25">
      <c r="A41"/>
      <c r="B41" s="4"/>
      <c r="C41" s="5"/>
      <c r="D41" s="5"/>
      <c r="E41" s="5"/>
      <c r="F41" s="5"/>
      <c r="G41" s="5"/>
      <c r="H41" s="5"/>
      <c r="I41" s="5"/>
      <c r="J41" s="191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3"/>
      <c r="AG41" s="5"/>
      <c r="AH41" s="5"/>
      <c r="AI41" s="5"/>
      <c r="AJ41" s="6"/>
      <c r="AK41"/>
      <c r="AM41" s="89" t="s">
        <v>241</v>
      </c>
    </row>
    <row r="42" spans="1:39" x14ac:dyDescent="0.25">
      <c r="A42"/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6"/>
      <c r="AK42"/>
      <c r="AM42" s="95"/>
    </row>
    <row r="43" spans="1:39" x14ac:dyDescent="0.25">
      <c r="A43"/>
      <c r="B43" s="4"/>
      <c r="C43" s="5"/>
      <c r="D43" s="173" t="s">
        <v>390</v>
      </c>
      <c r="E43" s="173"/>
      <c r="F43" s="173"/>
      <c r="G43" s="173"/>
      <c r="H43" s="173"/>
      <c r="I43" s="173"/>
      <c r="J43" s="185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7"/>
      <c r="AG43" s="5"/>
      <c r="AH43" s="5"/>
      <c r="AI43" s="5"/>
      <c r="AJ43" s="6"/>
      <c r="AK43"/>
      <c r="AM43" s="89"/>
    </row>
    <row r="44" spans="1:39" x14ac:dyDescent="0.25">
      <c r="A44"/>
      <c r="B44" s="4"/>
      <c r="C44" s="5"/>
      <c r="D44" s="173"/>
      <c r="E44" s="173"/>
      <c r="F44" s="173"/>
      <c r="G44" s="173"/>
      <c r="H44" s="173"/>
      <c r="I44" s="173"/>
      <c r="J44" s="188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189"/>
      <c r="AE44" s="189"/>
      <c r="AF44" s="190"/>
      <c r="AG44" s="5"/>
      <c r="AH44" s="5"/>
      <c r="AI44" s="5"/>
      <c r="AJ44" s="6"/>
      <c r="AK44"/>
      <c r="AM44" s="89"/>
    </row>
    <row r="45" spans="1:39" x14ac:dyDescent="0.25">
      <c r="A45"/>
      <c r="B45" s="4"/>
      <c r="C45" s="5"/>
      <c r="D45" s="173"/>
      <c r="E45" s="173"/>
      <c r="F45" s="173"/>
      <c r="G45" s="173"/>
      <c r="H45" s="173"/>
      <c r="I45" s="173"/>
      <c r="J45" s="191"/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3"/>
      <c r="AG45" s="5"/>
      <c r="AH45" s="5"/>
      <c r="AI45" s="5"/>
      <c r="AJ45" s="6"/>
      <c r="AK45"/>
      <c r="AM45" s="89"/>
    </row>
    <row r="46" spans="1:39" x14ac:dyDescent="0.25">
      <c r="A46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9"/>
      <c r="AK46"/>
    </row>
    <row r="47" spans="1:39" ht="7.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9" ht="7.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5" ht="15" customHeight="1" x14ac:dyDescent="0.25">
      <c r="A49" s="176" t="s">
        <v>436</v>
      </c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</row>
    <row r="50" spans="1:35" ht="15" customHeight="1" x14ac:dyDescent="0.2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</row>
    <row r="51" spans="1:35" x14ac:dyDescent="0.25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</row>
    <row r="52" spans="1:35" x14ac:dyDescent="0.25">
      <c r="A52" s="178"/>
      <c r="B52" s="178"/>
      <c r="C52" s="178"/>
      <c r="D52" s="178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</row>
    <row r="53" spans="1:35" x14ac:dyDescent="0.25">
      <c r="A53" s="178"/>
      <c r="B53" s="178"/>
      <c r="C53" s="178"/>
      <c r="D53" s="178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8"/>
    </row>
    <row r="54" spans="1:35" x14ac:dyDescent="0.25">
      <c r="A54" s="178"/>
      <c r="B54" s="178"/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8"/>
    </row>
    <row r="55" spans="1:35" x14ac:dyDescent="0.25">
      <c r="A55" s="178"/>
      <c r="B55" s="178"/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</row>
    <row r="56" spans="1:35" x14ac:dyDescent="0.25">
      <c r="A56" s="178"/>
      <c r="B56" s="178"/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8"/>
    </row>
    <row r="57" spans="1:35" x14ac:dyDescent="0.25">
      <c r="A57" s="178"/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8"/>
    </row>
    <row r="58" spans="1:35" x14ac:dyDescent="0.25">
      <c r="A58" s="178"/>
      <c r="B58" s="178"/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8"/>
    </row>
    <row r="59" spans="1:35" x14ac:dyDescent="0.25">
      <c r="A59" s="178"/>
      <c r="B59" s="178"/>
      <c r="C59" s="178"/>
      <c r="D59" s="178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8"/>
    </row>
    <row r="60" spans="1:35" x14ac:dyDescent="0.25">
      <c r="A60" s="178"/>
      <c r="B60" s="178"/>
      <c r="C60" s="178"/>
      <c r="D60" s="178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8"/>
    </row>
    <row r="61" spans="1:35" x14ac:dyDescent="0.25">
      <c r="A61" s="178"/>
      <c r="B61" s="178"/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8"/>
    </row>
    <row r="62" spans="1:35" x14ac:dyDescent="0.25">
      <c r="A62" s="178"/>
      <c r="B62" s="178"/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</row>
    <row r="63" spans="1:35" x14ac:dyDescent="0.25">
      <c r="A63" s="178"/>
      <c r="B63" s="178"/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8"/>
    </row>
    <row r="64" spans="1:35" x14ac:dyDescent="0.25">
      <c r="A64" s="178"/>
      <c r="B64" s="178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8"/>
    </row>
    <row r="65" spans="1:35" x14ac:dyDescent="0.25">
      <c r="A65" s="178"/>
      <c r="B65" s="178"/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</row>
    <row r="66" spans="1:35" x14ac:dyDescent="0.25">
      <c r="A66" s="178"/>
      <c r="B66" s="178"/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8"/>
    </row>
    <row r="67" spans="1:35" x14ac:dyDescent="0.25">
      <c r="A67" s="178"/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</row>
    <row r="68" spans="1:35" x14ac:dyDescent="0.25">
      <c r="A68" s="178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8"/>
    </row>
    <row r="69" spans="1:35" x14ac:dyDescent="0.25">
      <c r="A69" s="178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8"/>
    </row>
    <row r="70" spans="1:35" x14ac:dyDescent="0.25">
      <c r="A70" s="178"/>
      <c r="B70" s="178"/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</row>
    <row r="71" spans="1:35" x14ac:dyDescent="0.25">
      <c r="A71" s="178"/>
      <c r="B71" s="178"/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8"/>
    </row>
    <row r="72" spans="1:35" x14ac:dyDescent="0.25">
      <c r="A72" s="178"/>
      <c r="B72" s="178"/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8"/>
    </row>
    <row r="73" spans="1:35" x14ac:dyDescent="0.25">
      <c r="A73" s="178"/>
      <c r="B73" s="178"/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8"/>
    </row>
    <row r="74" spans="1:35" x14ac:dyDescent="0.25">
      <c r="A74" s="178"/>
      <c r="B74" s="178"/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8"/>
    </row>
    <row r="75" spans="1:35" x14ac:dyDescent="0.25">
      <c r="A75" s="178"/>
      <c r="B75" s="178"/>
      <c r="C75" s="178"/>
      <c r="D75" s="178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</row>
    <row r="76" spans="1:35" x14ac:dyDescent="0.25">
      <c r="A76" s="178"/>
      <c r="B76" s="178"/>
      <c r="C76" s="178"/>
      <c r="D76" s="178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8"/>
    </row>
    <row r="77" spans="1:35" x14ac:dyDescent="0.25">
      <c r="A77" s="178"/>
      <c r="B77" s="178"/>
      <c r="C77" s="178"/>
      <c r="D77" s="178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8"/>
    </row>
    <row r="78" spans="1:35" x14ac:dyDescent="0.25">
      <c r="A78" s="178"/>
      <c r="B78" s="178"/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8"/>
    </row>
    <row r="79" spans="1:35" x14ac:dyDescent="0.25">
      <c r="A79" s="178"/>
      <c r="B79" s="178"/>
      <c r="C79" s="178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178"/>
    </row>
    <row r="80" spans="1:35" x14ac:dyDescent="0.25">
      <c r="A80" s="178"/>
      <c r="B80" s="178"/>
      <c r="C80" s="178"/>
      <c r="D80" s="178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8"/>
    </row>
    <row r="81" spans="1:35" x14ac:dyDescent="0.25">
      <c r="A81" s="178"/>
      <c r="B81" s="178"/>
      <c r="C81" s="178"/>
      <c r="D81" s="178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8"/>
    </row>
    <row r="82" spans="1:35" x14ac:dyDescent="0.25">
      <c r="A82" s="178"/>
      <c r="B82" s="178"/>
      <c r="C82" s="178"/>
      <c r="D82" s="178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178"/>
    </row>
    <row r="83" spans="1:35" x14ac:dyDescent="0.25">
      <c r="A83" s="178"/>
      <c r="B83" s="178"/>
      <c r="C83" s="178"/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8"/>
    </row>
    <row r="84" spans="1:35" x14ac:dyDescent="0.25">
      <c r="A84" s="178"/>
      <c r="B84" s="178"/>
      <c r="C84" s="178"/>
      <c r="D84" s="178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8"/>
    </row>
    <row r="85" spans="1:35" x14ac:dyDescent="0.25">
      <c r="A85" s="178"/>
      <c r="B85" s="178"/>
      <c r="C85" s="178"/>
      <c r="D85" s="178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178"/>
    </row>
    <row r="86" spans="1:35" x14ac:dyDescent="0.25">
      <c r="A86" s="178"/>
      <c r="B86" s="178"/>
      <c r="C86" s="178"/>
      <c r="D86" s="178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178"/>
    </row>
    <row r="87" spans="1:35" x14ac:dyDescent="0.25">
      <c r="A87" s="178"/>
      <c r="B87" s="178"/>
      <c r="C87" s="178"/>
      <c r="D87" s="178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8"/>
    </row>
    <row r="88" spans="1:35" x14ac:dyDescent="0.25">
      <c r="A88" s="178"/>
      <c r="B88" s="178"/>
      <c r="C88" s="178"/>
      <c r="D88" s="178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178"/>
    </row>
    <row r="89" spans="1:35" x14ac:dyDescent="0.25">
      <c r="A89" s="178"/>
      <c r="B89" s="178"/>
      <c r="C89" s="178"/>
      <c r="D89" s="178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8"/>
    </row>
    <row r="90" spans="1:35" x14ac:dyDescent="0.25">
      <c r="A90" s="178"/>
      <c r="B90" s="178"/>
      <c r="C90" s="178"/>
      <c r="D90" s="178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8"/>
    </row>
    <row r="91" spans="1:35" x14ac:dyDescent="0.25">
      <c r="A91" s="178"/>
      <c r="B91" s="178"/>
      <c r="C91" s="178"/>
      <c r="D91" s="178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8"/>
    </row>
    <row r="92" spans="1:35" x14ac:dyDescent="0.25">
      <c r="A92" s="178"/>
      <c r="B92" s="178"/>
      <c r="C92" s="178"/>
      <c r="D92" s="178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178"/>
    </row>
    <row r="93" spans="1:35" x14ac:dyDescent="0.25">
      <c r="A93" s="178"/>
      <c r="B93" s="178"/>
      <c r="C93" s="178"/>
      <c r="D93" s="178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8"/>
    </row>
    <row r="94" spans="1:35" x14ac:dyDescent="0.25">
      <c r="A94" s="178"/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</row>
    <row r="95" spans="1:35" x14ac:dyDescent="0.25">
      <c r="A95" s="178"/>
      <c r="B95" s="178"/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8"/>
    </row>
  </sheetData>
  <sheetProtection formatCells="0" formatColumns="0" formatRows="0" insertColumns="0" insertRows="0" insertHyperlinks="0" deleteColumns="0" deleteRows="0" sort="0" autoFilter="0" pivotTables="0"/>
  <protectedRanges>
    <protectedRange sqref="K21:Q21 G35:S35 AB36:AF36 AG21:AG23 K36:Q36 H6:I7 AB6:AC7 AG26:AG28 E37:AF39 AG12:AG14 K23:Q27 K34:Q34 T29:U29 AA11:AF12 V12 E11 J11:O11 W36 AG18 T24:W26 Y24:AC26 AG31:AG39 AD30:AF32 E30:S32 AD25:AF25 AT11:AZ11 AT13:AZ17 BC19:BD19 BC14:BF16 BH14:BK16 AN20:BB22 AA14:AF15 V15" name="UserFields"/>
  </protectedRanges>
  <mergeCells count="25">
    <mergeCell ref="A49:AI50"/>
    <mergeCell ref="A51:AI95"/>
    <mergeCell ref="U12:Z12"/>
    <mergeCell ref="AA12:AF12"/>
    <mergeCell ref="H6:I7"/>
    <mergeCell ref="AB6:AC7"/>
    <mergeCell ref="U14:Z14"/>
    <mergeCell ref="AA14:AF14"/>
    <mergeCell ref="U15:Z15"/>
    <mergeCell ref="AA15:AF15"/>
    <mergeCell ref="J13:O15"/>
    <mergeCell ref="D13:I15"/>
    <mergeCell ref="J43:AF45"/>
    <mergeCell ref="J17:AF41"/>
    <mergeCell ref="D17:I18"/>
    <mergeCell ref="D20:I22"/>
    <mergeCell ref="D23:I23"/>
    <mergeCell ref="D43:I45"/>
    <mergeCell ref="D3:M5"/>
    <mergeCell ref="X3:AG5"/>
    <mergeCell ref="D11:I11"/>
    <mergeCell ref="J11:O11"/>
    <mergeCell ref="U11:Z11"/>
    <mergeCell ref="AA11:AF11"/>
    <mergeCell ref="N7:W9"/>
  </mergeCells>
  <conditionalFormatting sqref="H6:I7">
    <cfRule type="cellIs" dxfId="160" priority="19" operator="greaterThan">
      <formula>0</formula>
    </cfRule>
  </conditionalFormatting>
  <conditionalFormatting sqref="AB6:AC7">
    <cfRule type="cellIs" dxfId="159" priority="18" operator="greaterThan">
      <formula>0</formula>
    </cfRule>
  </conditionalFormatting>
  <conditionalFormatting sqref="AA11:AF11">
    <cfRule type="expression" dxfId="158" priority="16">
      <formula>AA11=""</formula>
    </cfRule>
  </conditionalFormatting>
  <conditionalFormatting sqref="AA12:AF12">
    <cfRule type="expression" dxfId="157" priority="15">
      <formula>AA12=""</formula>
    </cfRule>
  </conditionalFormatting>
  <conditionalFormatting sqref="J11:O11">
    <cfRule type="expression" dxfId="156" priority="6">
      <formula>J11="Please_Select"</formula>
    </cfRule>
  </conditionalFormatting>
  <conditionalFormatting sqref="J13">
    <cfRule type="expression" dxfId="155" priority="5">
      <formula>J13=""</formula>
    </cfRule>
  </conditionalFormatting>
  <conditionalFormatting sqref="J43">
    <cfRule type="expression" dxfId="154" priority="4">
      <formula>J43=""</formula>
    </cfRule>
  </conditionalFormatting>
  <conditionalFormatting sqref="AA14:AF14">
    <cfRule type="expression" dxfId="153" priority="3">
      <formula>AA14=""</formula>
    </cfRule>
  </conditionalFormatting>
  <conditionalFormatting sqref="AA15:AF15">
    <cfRule type="expression" dxfId="152" priority="2">
      <formula>AA15=""</formula>
    </cfRule>
  </conditionalFormatting>
  <conditionalFormatting sqref="J17">
    <cfRule type="expression" dxfId="151" priority="1">
      <formula>J17=""</formula>
    </cfRule>
  </conditionalFormatting>
  <dataValidations count="4">
    <dataValidation type="list" allowBlank="1" showInputMessage="1" showErrorMessage="1" sqref="J11:O11">
      <formula1>Direct_Cause</formula1>
    </dataValidation>
    <dataValidation type="list" allowBlank="1" showInputMessage="1" showErrorMessage="1" sqref="AT15:AZ15">
      <formula1>INDIRECT($K$24)</formula1>
    </dataValidation>
    <dataValidation type="list" allowBlank="1" showInputMessage="1" showErrorMessage="1" sqref="AT13:AZ13">
      <formula1>ProgramList</formula1>
    </dataValidation>
    <dataValidation type="list" allowBlank="1" showInputMessage="1" showErrorMessage="1" sqref="AT11:AZ11">
      <formula1>Test_Technician</formula1>
    </dataValidation>
  </dataValidations>
  <hyperlinks>
    <hyperlink ref="AM23" r:id="rId1"/>
    <hyperlink ref="AM27" r:id="rId2"/>
    <hyperlink ref="N7:W9" r:id="rId3" display="..\CCU\TDR 4865 Template .doc"/>
    <hyperlink ref="AM31" r:id="rId4"/>
  </hyperlinks>
  <pageMargins left="0.25" right="0.25" top="0.75" bottom="0.75" header="0.3" footer="0.3"/>
  <pageSetup orientation="portrait" r:id="rId5"/>
  <headerFooter>
    <oddHeader>&amp;C&amp;20Anomaly Owner Responsibilities/Resources</oddHeader>
    <oddFooter>&amp;LFORM: 6803 Rev -&amp;R
Report Generated: &amp;D, &amp;T</oddFooter>
  </headerFooter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N49"/>
  <sheetViews>
    <sheetView showWhiteSpace="0" view="pageLayout" zoomScale="85" zoomScaleNormal="100" zoomScalePageLayoutView="85" workbookViewId="0">
      <selection activeCell="AA41" sqref="AA41"/>
    </sheetView>
  </sheetViews>
  <sheetFormatPr defaultRowHeight="15" x14ac:dyDescent="0.25"/>
  <cols>
    <col min="1" max="1" width="1.42578125" customWidth="1"/>
    <col min="2" max="31" width="2.85546875" customWidth="1"/>
    <col min="32" max="36" width="2.7109375" customWidth="1"/>
    <col min="37" max="37" width="1.28515625" customWidth="1"/>
    <col min="38" max="38" width="8.5703125" customWidth="1"/>
    <col min="39" max="39" width="2.42578125" customWidth="1"/>
    <col min="40" max="40" width="22.85546875" bestFit="1" customWidth="1"/>
    <col min="41" max="113" width="2.42578125" customWidth="1"/>
  </cols>
  <sheetData>
    <row r="1" spans="2:40" ht="7.5" customHeight="1" x14ac:dyDescent="0.25"/>
    <row r="2" spans="2:40" x14ac:dyDescent="0.25">
      <c r="B2" s="1"/>
      <c r="C2" s="2"/>
      <c r="D2" s="2" t="s">
        <v>208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3"/>
    </row>
    <row r="3" spans="2:40" x14ac:dyDescent="0.25">
      <c r="B3" s="25"/>
      <c r="C3" s="24"/>
      <c r="D3" s="53"/>
      <c r="E3" s="54"/>
      <c r="F3" s="54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6"/>
      <c r="AI3" s="24"/>
      <c r="AJ3" s="6"/>
      <c r="AN3" s="26" t="s">
        <v>57</v>
      </c>
    </row>
    <row r="4" spans="2:40" ht="15" customHeight="1" x14ac:dyDescent="0.25">
      <c r="B4" s="25"/>
      <c r="C4" s="5"/>
      <c r="D4" s="57"/>
      <c r="E4" s="47"/>
      <c r="F4" s="47"/>
      <c r="G4" s="47" t="s">
        <v>209</v>
      </c>
      <c r="H4" s="47"/>
      <c r="I4" s="47"/>
      <c r="J4" s="47"/>
      <c r="K4" s="47"/>
      <c r="L4" s="47"/>
      <c r="M4" s="47"/>
      <c r="N4" s="47"/>
      <c r="O4" s="199" t="str">
        <f>'Anomaly Report'!Z9</f>
        <v>3.2.4.2</v>
      </c>
      <c r="P4" s="199"/>
      <c r="Q4" s="199"/>
      <c r="R4" s="199"/>
      <c r="S4" s="199"/>
      <c r="T4" s="199"/>
      <c r="U4" s="199"/>
      <c r="V4" s="199"/>
      <c r="W4" s="199"/>
      <c r="X4" s="199"/>
      <c r="Y4" s="47"/>
      <c r="Z4" s="47"/>
      <c r="AA4" s="47"/>
      <c r="AB4" s="47"/>
      <c r="AC4" s="47"/>
      <c r="AD4" s="47"/>
      <c r="AE4" s="47"/>
      <c r="AF4" s="47"/>
      <c r="AG4" s="47"/>
      <c r="AH4" s="58"/>
      <c r="AI4" s="24"/>
      <c r="AJ4" s="6"/>
      <c r="AN4" s="28" t="s">
        <v>58</v>
      </c>
    </row>
    <row r="5" spans="2:40" x14ac:dyDescent="0.25">
      <c r="B5" s="23"/>
      <c r="C5" s="22"/>
      <c r="D5" s="5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58"/>
      <c r="AI5" s="24"/>
      <c r="AJ5" s="6"/>
      <c r="AN5" s="27" t="s">
        <v>59</v>
      </c>
    </row>
    <row r="6" spans="2:40" x14ac:dyDescent="0.25">
      <c r="B6" s="4"/>
      <c r="C6" s="5"/>
      <c r="D6" s="57"/>
      <c r="E6" s="47"/>
      <c r="F6" s="47"/>
      <c r="G6" s="47" t="s">
        <v>219</v>
      </c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58"/>
      <c r="AI6" s="24"/>
      <c r="AJ6" s="6"/>
    </row>
    <row r="7" spans="2:40" x14ac:dyDescent="0.25">
      <c r="B7" s="4"/>
      <c r="C7" s="5"/>
      <c r="D7" s="5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58"/>
      <c r="AI7" s="24"/>
      <c r="AJ7" s="6"/>
    </row>
    <row r="8" spans="2:40" x14ac:dyDescent="0.25">
      <c r="B8" s="4"/>
      <c r="C8" s="5"/>
      <c r="D8" s="57"/>
      <c r="E8" s="47"/>
      <c r="F8" s="47"/>
      <c r="G8" s="47"/>
      <c r="H8" s="47" t="s">
        <v>216</v>
      </c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58"/>
      <c r="AI8" s="24"/>
      <c r="AJ8" s="6"/>
    </row>
    <row r="9" spans="2:40" x14ac:dyDescent="0.25">
      <c r="B9" s="4"/>
      <c r="C9" s="5"/>
      <c r="D9" s="57"/>
      <c r="E9" s="47"/>
      <c r="F9" s="47"/>
      <c r="G9" s="47"/>
      <c r="H9" s="47" t="s">
        <v>217</v>
      </c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58"/>
      <c r="AI9" s="24"/>
      <c r="AJ9" s="6"/>
    </row>
    <row r="10" spans="2:40" x14ac:dyDescent="0.25">
      <c r="B10" s="4"/>
      <c r="C10" s="5"/>
      <c r="D10" s="57"/>
      <c r="E10" s="47"/>
      <c r="F10" s="47"/>
      <c r="G10" s="47"/>
      <c r="H10" s="47" t="s">
        <v>218</v>
      </c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58"/>
      <c r="AI10" s="24"/>
      <c r="AJ10" s="6"/>
    </row>
    <row r="11" spans="2:40" x14ac:dyDescent="0.25">
      <c r="B11" s="4"/>
      <c r="C11" s="5"/>
      <c r="D11" s="5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58"/>
      <c r="AI11" s="24"/>
      <c r="AJ11" s="6"/>
    </row>
    <row r="12" spans="2:40" x14ac:dyDescent="0.25">
      <c r="B12" s="4"/>
      <c r="C12" s="5"/>
      <c r="D12" s="57"/>
      <c r="E12" s="47"/>
      <c r="F12" s="47"/>
      <c r="G12" s="47" t="s">
        <v>210</v>
      </c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58"/>
      <c r="AI12" s="24"/>
      <c r="AJ12" s="6"/>
    </row>
    <row r="13" spans="2:40" x14ac:dyDescent="0.25">
      <c r="B13" s="4"/>
      <c r="C13" s="5"/>
      <c r="D13" s="5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58"/>
      <c r="AI13" s="24"/>
      <c r="AJ13" s="6"/>
    </row>
    <row r="14" spans="2:40" x14ac:dyDescent="0.25">
      <c r="B14" s="4"/>
      <c r="C14" s="5"/>
      <c r="D14" s="57"/>
      <c r="E14" s="47"/>
      <c r="F14" s="47"/>
      <c r="G14" s="47"/>
      <c r="H14" s="47" t="s">
        <v>216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58"/>
      <c r="AI14" s="24"/>
      <c r="AJ14" s="6"/>
    </row>
    <row r="15" spans="2:40" x14ac:dyDescent="0.25">
      <c r="B15" s="4"/>
      <c r="C15" s="5"/>
      <c r="D15" s="57"/>
      <c r="E15" s="47"/>
      <c r="F15" s="47"/>
      <c r="G15" s="47"/>
      <c r="H15" s="47" t="s">
        <v>217</v>
      </c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58"/>
      <c r="AI15" s="24"/>
      <c r="AJ15" s="6"/>
    </row>
    <row r="16" spans="2:40" x14ac:dyDescent="0.25">
      <c r="B16" s="4"/>
      <c r="C16" s="5"/>
      <c r="D16" s="57"/>
      <c r="E16" s="47"/>
      <c r="F16" s="47"/>
      <c r="G16" s="47"/>
      <c r="H16" s="47" t="s">
        <v>218</v>
      </c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58"/>
      <c r="AI16" s="24"/>
      <c r="AJ16" s="6"/>
    </row>
    <row r="17" spans="2:36" x14ac:dyDescent="0.25">
      <c r="B17" s="4"/>
      <c r="C17" s="5"/>
      <c r="D17" s="5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58"/>
      <c r="AI17" s="24"/>
      <c r="AJ17" s="6"/>
    </row>
    <row r="18" spans="2:36" x14ac:dyDescent="0.25">
      <c r="B18" s="4"/>
      <c r="C18" s="5"/>
      <c r="D18" s="57"/>
      <c r="E18" s="47"/>
      <c r="F18" s="47"/>
      <c r="G18" s="47" t="s">
        <v>211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58"/>
      <c r="AI18" s="24"/>
      <c r="AJ18" s="6"/>
    </row>
    <row r="19" spans="2:36" x14ac:dyDescent="0.25">
      <c r="B19" s="4"/>
      <c r="C19" s="5"/>
      <c r="D19" s="5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58"/>
      <c r="AI19" s="24"/>
      <c r="AJ19" s="6"/>
    </row>
    <row r="20" spans="2:36" x14ac:dyDescent="0.25">
      <c r="B20" s="4"/>
      <c r="C20" s="5"/>
      <c r="D20" s="57"/>
      <c r="E20" s="47"/>
      <c r="F20" s="47"/>
      <c r="G20" s="47" t="s">
        <v>212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58"/>
      <c r="AI20" s="24"/>
      <c r="AJ20" s="6"/>
    </row>
    <row r="21" spans="2:36" x14ac:dyDescent="0.25">
      <c r="B21" s="4"/>
      <c r="C21" s="5"/>
      <c r="D21" s="5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58"/>
      <c r="AI21" s="24"/>
      <c r="AJ21" s="6"/>
    </row>
    <row r="22" spans="2:36" x14ac:dyDescent="0.25">
      <c r="B22" s="4"/>
      <c r="C22" s="5"/>
      <c r="D22" s="57"/>
      <c r="E22" s="47"/>
      <c r="F22" s="47"/>
      <c r="G22" s="47" t="s">
        <v>213</v>
      </c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58"/>
      <c r="AI22" s="24"/>
      <c r="AJ22" s="6"/>
    </row>
    <row r="23" spans="2:36" x14ac:dyDescent="0.25">
      <c r="B23" s="4"/>
      <c r="C23" s="5"/>
      <c r="D23" s="5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58"/>
      <c r="AI23" s="24"/>
      <c r="AJ23" s="6"/>
    </row>
    <row r="24" spans="2:36" x14ac:dyDescent="0.25">
      <c r="B24" s="4"/>
      <c r="C24" s="5"/>
      <c r="D24" s="57"/>
      <c r="E24" s="47"/>
      <c r="F24" s="47"/>
      <c r="G24" s="47" t="s">
        <v>214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58"/>
      <c r="AI24" s="24"/>
      <c r="AJ24" s="6"/>
    </row>
    <row r="25" spans="2:36" x14ac:dyDescent="0.25">
      <c r="B25" s="4"/>
      <c r="C25" s="5"/>
      <c r="D25" s="5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58"/>
      <c r="AI25" s="24"/>
      <c r="AJ25" s="6"/>
    </row>
    <row r="26" spans="2:36" x14ac:dyDescent="0.25">
      <c r="B26" s="4"/>
      <c r="C26" s="5"/>
      <c r="D26" s="57"/>
      <c r="E26" s="47"/>
      <c r="F26" s="47"/>
      <c r="G26" s="47" t="s">
        <v>215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58"/>
      <c r="AI26" s="24"/>
      <c r="AJ26" s="6"/>
    </row>
    <row r="27" spans="2:36" x14ac:dyDescent="0.25">
      <c r="B27" s="4"/>
      <c r="C27" s="5"/>
      <c r="D27" s="5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58"/>
      <c r="AI27" s="24"/>
      <c r="AJ27" s="6"/>
    </row>
    <row r="28" spans="2:36" x14ac:dyDescent="0.25">
      <c r="B28" s="4"/>
      <c r="C28" s="5"/>
      <c r="D28" s="57"/>
      <c r="E28" s="47"/>
      <c r="F28" s="47"/>
      <c r="G28" s="47" t="s">
        <v>220</v>
      </c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58"/>
      <c r="AI28" s="24"/>
      <c r="AJ28" s="6"/>
    </row>
    <row r="29" spans="2:36" x14ac:dyDescent="0.25">
      <c r="B29" s="4"/>
      <c r="C29" s="5"/>
      <c r="D29" s="5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58"/>
      <c r="AI29" s="24"/>
      <c r="AJ29" s="6"/>
    </row>
    <row r="30" spans="2:36" ht="15" customHeight="1" x14ac:dyDescent="0.25">
      <c r="B30" s="4"/>
      <c r="C30" s="5"/>
      <c r="D30" s="57"/>
      <c r="E30" s="47"/>
      <c r="F30" s="47"/>
      <c r="G30" s="47"/>
      <c r="H30" s="47" t="s">
        <v>216</v>
      </c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58"/>
      <c r="AI30" s="24"/>
      <c r="AJ30" s="6"/>
    </row>
    <row r="31" spans="2:36" x14ac:dyDescent="0.25">
      <c r="B31" s="4"/>
      <c r="C31" s="5"/>
      <c r="D31" s="57"/>
      <c r="E31" s="47"/>
      <c r="F31" s="47"/>
      <c r="G31" s="47"/>
      <c r="H31" s="47" t="s">
        <v>218</v>
      </c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58"/>
      <c r="AI31" s="24"/>
      <c r="AJ31" s="6"/>
    </row>
    <row r="32" spans="2:36" x14ac:dyDescent="0.25">
      <c r="B32" s="4"/>
      <c r="C32" s="5"/>
      <c r="D32" s="5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58"/>
      <c r="AI32" s="24"/>
      <c r="AJ32" s="6"/>
    </row>
    <row r="33" spans="2:36" x14ac:dyDescent="0.25">
      <c r="B33" s="4"/>
      <c r="C33" s="5"/>
      <c r="D33" s="5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58"/>
      <c r="AI33" s="24"/>
      <c r="AJ33" s="6"/>
    </row>
    <row r="34" spans="2:36" x14ac:dyDescent="0.25">
      <c r="B34" s="4"/>
      <c r="C34" s="5"/>
      <c r="D34" s="5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58"/>
      <c r="AI34" s="5"/>
      <c r="AJ34" s="6"/>
    </row>
    <row r="35" spans="2:36" x14ac:dyDescent="0.25">
      <c r="B35" s="4"/>
      <c r="C35" s="5"/>
      <c r="D35" s="5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58"/>
      <c r="AI35" s="5"/>
      <c r="AJ35" s="6"/>
    </row>
    <row r="36" spans="2:36" x14ac:dyDescent="0.25">
      <c r="B36" s="4"/>
      <c r="C36" s="5"/>
      <c r="D36" s="5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58"/>
      <c r="AI36" s="5"/>
      <c r="AJ36" s="6"/>
    </row>
    <row r="37" spans="2:36" x14ac:dyDescent="0.25">
      <c r="B37" s="4"/>
      <c r="C37" s="5"/>
      <c r="D37" s="5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58"/>
      <c r="AI37" s="5"/>
      <c r="AJ37" s="6"/>
    </row>
    <row r="38" spans="2:36" x14ac:dyDescent="0.25">
      <c r="B38" s="4"/>
      <c r="C38" s="5"/>
      <c r="D38" s="5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58"/>
      <c r="AI38" s="5"/>
      <c r="AJ38" s="6"/>
    </row>
    <row r="39" spans="2:36" x14ac:dyDescent="0.25">
      <c r="B39" s="4"/>
      <c r="C39" s="5"/>
      <c r="D39" s="5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58"/>
      <c r="AI39" s="5"/>
      <c r="AJ39" s="6"/>
    </row>
    <row r="40" spans="2:36" x14ac:dyDescent="0.25">
      <c r="B40" s="4"/>
      <c r="C40" s="5"/>
      <c r="D40" s="5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58"/>
      <c r="AI40" s="5"/>
      <c r="AJ40" s="6"/>
    </row>
    <row r="41" spans="2:36" x14ac:dyDescent="0.25">
      <c r="B41" s="4"/>
      <c r="C41" s="5"/>
      <c r="D41" s="5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58"/>
      <c r="AI41" s="5"/>
      <c r="AJ41" s="6"/>
    </row>
    <row r="42" spans="2:36" x14ac:dyDescent="0.25">
      <c r="B42" s="4"/>
      <c r="C42" s="5"/>
      <c r="D42" s="5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58"/>
      <c r="AI42" s="5"/>
      <c r="AJ42" s="6"/>
    </row>
    <row r="43" spans="2:36" x14ac:dyDescent="0.25">
      <c r="B43" s="4"/>
      <c r="C43" s="5"/>
      <c r="D43" s="5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58"/>
      <c r="AI43" s="5"/>
      <c r="AJ43" s="6"/>
    </row>
    <row r="44" spans="2:36" x14ac:dyDescent="0.25">
      <c r="B44" s="4"/>
      <c r="C44" s="5"/>
      <c r="D44" s="5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58"/>
      <c r="AI44" s="5"/>
      <c r="AJ44" s="6"/>
    </row>
    <row r="45" spans="2:36" x14ac:dyDescent="0.25">
      <c r="B45" s="4"/>
      <c r="C45" s="5"/>
      <c r="D45" s="5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58"/>
      <c r="AI45" s="5"/>
      <c r="AJ45" s="6"/>
    </row>
    <row r="46" spans="2:36" x14ac:dyDescent="0.25">
      <c r="B46" s="4"/>
      <c r="C46" s="5"/>
      <c r="D46" s="59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1"/>
      <c r="AI46" s="5"/>
      <c r="AJ46" s="6"/>
    </row>
    <row r="47" spans="2:36" x14ac:dyDescent="0.25"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9"/>
    </row>
    <row r="48" spans="2:36" ht="7.5" customHeight="1" x14ac:dyDescent="0.25"/>
    <row r="49" ht="7.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sqref="O4 D3:N38 Q3:AF38 O3:P3 O5:P38" name="UserFields"/>
  </protectedRanges>
  <mergeCells count="1">
    <mergeCell ref="O4:X4"/>
  </mergeCells>
  <pageMargins left="0.25" right="0.25" top="0.75" bottom="0.75" header="0.3" footer="0.3"/>
  <pageSetup orientation="portrait" r:id="rId1"/>
  <headerFooter>
    <oddHeader>&amp;LULA&amp;C&amp;18Anomaly Report</oddHeader>
    <oddFooter>&amp;LFORM: XXXX&amp;R
Report Generated: &amp;D,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3</xdr:col>
                    <xdr:colOff>200025</xdr:colOff>
                    <xdr:row>16</xdr:row>
                    <xdr:rowOff>133350</xdr:rowOff>
                  </from>
                  <to>
                    <xdr:col>5</xdr:col>
                    <xdr:colOff>142875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3</xdr:col>
                    <xdr:colOff>200025</xdr:colOff>
                    <xdr:row>18</xdr:row>
                    <xdr:rowOff>152400</xdr:rowOff>
                  </from>
                  <to>
                    <xdr:col>5</xdr:col>
                    <xdr:colOff>142875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3</xdr:col>
                    <xdr:colOff>200025</xdr:colOff>
                    <xdr:row>20</xdr:row>
                    <xdr:rowOff>152400</xdr:rowOff>
                  </from>
                  <to>
                    <xdr:col>5</xdr:col>
                    <xdr:colOff>142875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3</xdr:col>
                    <xdr:colOff>200025</xdr:colOff>
                    <xdr:row>22</xdr:row>
                    <xdr:rowOff>142875</xdr:rowOff>
                  </from>
                  <to>
                    <xdr:col>5</xdr:col>
                    <xdr:colOff>142875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3</xdr:col>
                    <xdr:colOff>200025</xdr:colOff>
                    <xdr:row>24</xdr:row>
                    <xdr:rowOff>152400</xdr:rowOff>
                  </from>
                  <to>
                    <xdr:col>5</xdr:col>
                    <xdr:colOff>142875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3</xdr:col>
                    <xdr:colOff>200025</xdr:colOff>
                    <xdr:row>28</xdr:row>
                    <xdr:rowOff>123825</xdr:rowOff>
                  </from>
                  <to>
                    <xdr:col>5</xdr:col>
                    <xdr:colOff>142875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3</xdr:col>
                    <xdr:colOff>200025</xdr:colOff>
                    <xdr:row>29</xdr:row>
                    <xdr:rowOff>133350</xdr:rowOff>
                  </from>
                  <to>
                    <xdr:col>5</xdr:col>
                    <xdr:colOff>142875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defaultSize="0" autoFill="0" autoLine="0" autoPict="0">
                <anchor moveWithCells="1">
                  <from>
                    <xdr:col>3</xdr:col>
                    <xdr:colOff>200025</xdr:colOff>
                    <xdr:row>12</xdr:row>
                    <xdr:rowOff>152400</xdr:rowOff>
                  </from>
                  <to>
                    <xdr:col>5</xdr:col>
                    <xdr:colOff>142875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defaultSize="0" autoFill="0" autoLine="0" autoPict="0">
                <anchor moveWithCells="1">
                  <from>
                    <xdr:col>3</xdr:col>
                    <xdr:colOff>200025</xdr:colOff>
                    <xdr:row>13</xdr:row>
                    <xdr:rowOff>152400</xdr:rowOff>
                  </from>
                  <to>
                    <xdr:col>5</xdr:col>
                    <xdr:colOff>142875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defaultSize="0" autoFill="0" autoLine="0" autoPict="0">
                <anchor moveWithCells="1">
                  <from>
                    <xdr:col>3</xdr:col>
                    <xdr:colOff>200025</xdr:colOff>
                    <xdr:row>14</xdr:row>
                    <xdr:rowOff>133350</xdr:rowOff>
                  </from>
                  <to>
                    <xdr:col>5</xdr:col>
                    <xdr:colOff>142875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defaultSize="0" autoFill="0" autoLine="0" autoPict="0">
                <anchor moveWithCells="1">
                  <from>
                    <xdr:col>3</xdr:col>
                    <xdr:colOff>200025</xdr:colOff>
                    <xdr:row>6</xdr:row>
                    <xdr:rowOff>152400</xdr:rowOff>
                  </from>
                  <to>
                    <xdr:col>5</xdr:col>
                    <xdr:colOff>142875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133350</xdr:rowOff>
                  </from>
                  <to>
                    <xdr:col>5</xdr:col>
                    <xdr:colOff>142875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defaultSize="0" autoFill="0" autoLine="0" autoPict="0">
                <anchor moveWithCells="1">
                  <from>
                    <xdr:col>3</xdr:col>
                    <xdr:colOff>200025</xdr:colOff>
                    <xdr:row>7</xdr:row>
                    <xdr:rowOff>133350</xdr:rowOff>
                  </from>
                  <to>
                    <xdr:col>5</xdr:col>
                    <xdr:colOff>142875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workbookViewId="0">
      <selection activeCell="B2" sqref="B2"/>
    </sheetView>
  </sheetViews>
  <sheetFormatPr defaultRowHeight="15" x14ac:dyDescent="0.25"/>
  <cols>
    <col min="1" max="1" width="23.28515625" customWidth="1"/>
    <col min="2" max="2" width="96.5703125" bestFit="1" customWidth="1"/>
    <col min="4" max="4" width="16.85546875" bestFit="1" customWidth="1"/>
    <col min="5" max="5" width="33.28515625" bestFit="1" customWidth="1"/>
  </cols>
  <sheetData>
    <row r="1" spans="1:5" x14ac:dyDescent="0.25">
      <c r="A1" t="s">
        <v>364</v>
      </c>
      <c r="B1" t="s">
        <v>365</v>
      </c>
      <c r="C1" t="s">
        <v>366</v>
      </c>
      <c r="D1" t="s">
        <v>368</v>
      </c>
      <c r="E1" s="11" t="s">
        <v>379</v>
      </c>
    </row>
    <row r="2" spans="1:5" x14ac:dyDescent="0.25">
      <c r="A2" t="s">
        <v>361</v>
      </c>
      <c r="B2" t="str">
        <f ca="1">MID(CELL("filename"),SEARCH("[",CELL("filename"))+1, SEARCH("]",CELL("filename"))-SEARCH("[",CELL("filename"))-1)</f>
        <v>AR-0136-OCU-Top_Level-SN0034.xlsm</v>
      </c>
      <c r="C2" t="s">
        <v>46</v>
      </c>
      <c r="D2" t="s">
        <v>369</v>
      </c>
      <c r="E2" s="11" t="s">
        <v>380</v>
      </c>
    </row>
    <row r="3" spans="1:5" x14ac:dyDescent="0.25">
      <c r="A3" t="s">
        <v>363</v>
      </c>
      <c r="B3" t="s">
        <v>403</v>
      </c>
      <c r="C3" t="s">
        <v>46</v>
      </c>
      <c r="D3" s="85" t="s">
        <v>370</v>
      </c>
      <c r="E3" s="11" t="s">
        <v>380</v>
      </c>
    </row>
    <row r="4" spans="1:5" x14ac:dyDescent="0.25">
      <c r="A4" t="s">
        <v>362</v>
      </c>
      <c r="B4" s="84" t="s">
        <v>376</v>
      </c>
      <c r="C4" t="s">
        <v>367</v>
      </c>
      <c r="D4" t="s">
        <v>371</v>
      </c>
      <c r="E4" s="11" t="s">
        <v>380</v>
      </c>
    </row>
    <row r="5" spans="1:5" x14ac:dyDescent="0.25">
      <c r="A5" t="s">
        <v>372</v>
      </c>
      <c r="B5" s="84" t="s">
        <v>377</v>
      </c>
      <c r="C5" t="s">
        <v>367</v>
      </c>
      <c r="D5" t="s">
        <v>374</v>
      </c>
      <c r="E5" s="11" t="s">
        <v>380</v>
      </c>
    </row>
    <row r="6" spans="1:5" x14ac:dyDescent="0.25">
      <c r="A6" t="s">
        <v>373</v>
      </c>
      <c r="B6" s="84" t="s">
        <v>378</v>
      </c>
      <c r="C6" t="s">
        <v>46</v>
      </c>
      <c r="D6" t="s">
        <v>375</v>
      </c>
      <c r="E6" s="11" t="s">
        <v>381</v>
      </c>
    </row>
    <row r="7" spans="1:5" x14ac:dyDescent="0.25">
      <c r="A7" t="s">
        <v>382</v>
      </c>
      <c r="B7" t="s">
        <v>384</v>
      </c>
      <c r="C7" t="s">
        <v>367</v>
      </c>
      <c r="D7" t="s">
        <v>386</v>
      </c>
      <c r="E7" s="11" t="s">
        <v>380</v>
      </c>
    </row>
    <row r="8" spans="1:5" x14ac:dyDescent="0.25">
      <c r="A8" t="s">
        <v>383</v>
      </c>
      <c r="B8" t="s">
        <v>400</v>
      </c>
      <c r="C8" t="s">
        <v>46</v>
      </c>
      <c r="D8" t="s">
        <v>385</v>
      </c>
      <c r="E8" s="11" t="s">
        <v>380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4"/>
  <sheetViews>
    <sheetView workbookViewId="0">
      <selection activeCell="U3" sqref="U3"/>
    </sheetView>
  </sheetViews>
  <sheetFormatPr defaultRowHeight="15" x14ac:dyDescent="0.25"/>
  <cols>
    <col min="1" max="1" width="14.28515625" bestFit="1" customWidth="1"/>
    <col min="2" max="2" width="15.42578125" bestFit="1" customWidth="1"/>
    <col min="3" max="3" width="17.5703125" bestFit="1" customWidth="1"/>
    <col min="4" max="4" width="13.85546875" bestFit="1" customWidth="1"/>
    <col min="5" max="5" width="12.85546875" bestFit="1" customWidth="1"/>
    <col min="6" max="6" width="16.140625" bestFit="1" customWidth="1"/>
    <col min="8" max="8" width="9.85546875" bestFit="1" customWidth="1"/>
    <col min="9" max="9" width="9.28515625" bestFit="1" customWidth="1"/>
    <col min="10" max="10" width="9.7109375" bestFit="1" customWidth="1"/>
    <col min="11" max="11" width="12.85546875" bestFit="1" customWidth="1"/>
    <col min="12" max="12" width="16.140625" bestFit="1" customWidth="1"/>
    <col min="13" max="13" width="10.85546875" customWidth="1"/>
    <col min="14" max="14" width="15.28515625" customWidth="1"/>
    <col min="15" max="15" width="19.7109375" customWidth="1"/>
    <col min="16" max="16" width="18.28515625" customWidth="1"/>
    <col min="17" max="17" width="16.5703125" customWidth="1"/>
    <col min="19" max="20" width="16.28515625" bestFit="1" customWidth="1"/>
    <col min="21" max="21" width="17.42578125" bestFit="1" customWidth="1"/>
  </cols>
  <sheetData>
    <row r="1" spans="1:66" ht="30" x14ac:dyDescent="0.25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139</v>
      </c>
      <c r="I1" t="s">
        <v>136</v>
      </c>
      <c r="J1" t="s">
        <v>137</v>
      </c>
      <c r="K1" t="s">
        <v>138</v>
      </c>
      <c r="L1" s="41" t="s">
        <v>239</v>
      </c>
      <c r="M1" s="41" t="s">
        <v>240</v>
      </c>
      <c r="N1" s="41" t="s">
        <v>355</v>
      </c>
      <c r="O1" s="112" t="s">
        <v>207</v>
      </c>
      <c r="P1" s="112" t="s">
        <v>433</v>
      </c>
      <c r="Q1" s="41" t="s">
        <v>434</v>
      </c>
    </row>
    <row r="2" spans="1:66" ht="150" x14ac:dyDescent="0.25">
      <c r="A2" t="s">
        <v>1</v>
      </c>
      <c r="B2" t="s">
        <v>142</v>
      </c>
      <c r="C2" t="s">
        <v>152</v>
      </c>
      <c r="D2">
        <v>34</v>
      </c>
      <c r="E2" s="38">
        <v>42656</v>
      </c>
      <c r="F2" s="40" t="e">
        <v>#VALUE!</v>
      </c>
      <c r="G2" t="s">
        <v>66</v>
      </c>
      <c r="H2" t="s">
        <v>445</v>
      </c>
      <c r="I2" t="s">
        <v>81</v>
      </c>
      <c r="J2" s="38" t="s">
        <v>499</v>
      </c>
      <c r="K2" s="41" t="s">
        <v>500</v>
      </c>
      <c r="L2" s="39">
        <v>42656.624868634259</v>
      </c>
      <c r="N2" s="39"/>
      <c r="O2" s="39"/>
      <c r="P2" s="39"/>
      <c r="S2" s="39">
        <v>42662.41351215278</v>
      </c>
      <c r="T2" s="39">
        <v>42663.414324537036</v>
      </c>
      <c r="U2" s="39">
        <v>42663.417410648151</v>
      </c>
    </row>
    <row r="3" spans="1:66" x14ac:dyDescent="0.25">
      <c r="L3" s="40"/>
      <c r="N3" s="40"/>
      <c r="O3" s="40"/>
      <c r="P3" s="40"/>
      <c r="S3" s="40"/>
      <c r="T3" s="40"/>
      <c r="U3" s="40"/>
      <c r="BK3" t="str">
        <f ca="1">MID(CELL("filename"),SEARCH("[",CELL("filename"))+1, SEARCH("]",CELL("filename"))-SEARCH("[",CELL("filename"))-1)</f>
        <v>AR-0136-OCU-Top_Level-SN0034.xlsm</v>
      </c>
      <c r="BN3" t="str">
        <f ca="1">MID(CELL("filename"),SEARCH("[",CELL("filename"))+1, SEARCH("]",CELL("filename"))-SEARCH("[",CELL("filename"))-1)</f>
        <v>AR-0136-OCU-Top_Level-SN0034.xlsm</v>
      </c>
    </row>
    <row r="4" spans="1:66" x14ac:dyDescent="0.25">
      <c r="F4" s="3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AB74"/>
  <sheetViews>
    <sheetView topLeftCell="H4" workbookViewId="0">
      <selection activeCell="H7" sqref="H7"/>
    </sheetView>
  </sheetViews>
  <sheetFormatPr defaultRowHeight="15" x14ac:dyDescent="0.25"/>
  <cols>
    <col min="2" max="2" width="17.140625" customWidth="1"/>
    <col min="4" max="4" width="13.42578125" bestFit="1" customWidth="1"/>
    <col min="6" max="6" width="16.140625" bestFit="1" customWidth="1"/>
    <col min="7" max="7" width="16.5703125" customWidth="1"/>
    <col min="8" max="8" width="16.140625" bestFit="1" customWidth="1"/>
    <col min="9" max="9" width="14.42578125" bestFit="1" customWidth="1"/>
    <col min="10" max="10" width="14.42578125" customWidth="1"/>
    <col min="11" max="11" width="9.140625" customWidth="1"/>
    <col min="12" max="12" width="16.7109375" customWidth="1"/>
    <col min="13" max="13" width="9.140625" customWidth="1"/>
    <col min="14" max="14" width="15.42578125" customWidth="1"/>
    <col min="16" max="16" width="16" bestFit="1" customWidth="1"/>
    <col min="18" max="18" width="18.28515625" bestFit="1" customWidth="1"/>
    <col min="19" max="19" width="5.7109375" customWidth="1"/>
    <col min="20" max="20" width="18.28515625" customWidth="1"/>
    <col min="22" max="22" width="25.85546875" bestFit="1" customWidth="1"/>
    <col min="24" max="24" width="15.85546875" customWidth="1"/>
    <col min="26" max="26" width="21.42578125" bestFit="1" customWidth="1"/>
    <col min="28" max="28" width="25.28515625" customWidth="1"/>
  </cols>
  <sheetData>
    <row r="4" spans="2:28" x14ac:dyDescent="0.25">
      <c r="B4" t="s">
        <v>242</v>
      </c>
      <c r="D4" t="s">
        <v>243</v>
      </c>
      <c r="F4" s="9" t="s">
        <v>0</v>
      </c>
      <c r="G4" s="14" t="s">
        <v>63</v>
      </c>
      <c r="H4" s="14" t="s">
        <v>62</v>
      </c>
      <c r="I4" s="7" t="s">
        <v>8</v>
      </c>
      <c r="L4" t="s">
        <v>45</v>
      </c>
      <c r="N4" s="8" t="s">
        <v>21</v>
      </c>
      <c r="P4" t="s">
        <v>65</v>
      </c>
      <c r="R4" t="s">
        <v>340</v>
      </c>
      <c r="T4" t="s">
        <v>339</v>
      </c>
      <c r="V4" s="18" t="s">
        <v>142</v>
      </c>
      <c r="X4" s="8" t="s">
        <v>162</v>
      </c>
      <c r="Z4" s="5" t="s">
        <v>169</v>
      </c>
      <c r="AB4" t="s">
        <v>223</v>
      </c>
    </row>
    <row r="5" spans="2:28" x14ac:dyDescent="0.25">
      <c r="B5" t="s">
        <v>21</v>
      </c>
      <c r="D5" t="s">
        <v>21</v>
      </c>
      <c r="F5" s="10" t="s">
        <v>21</v>
      </c>
      <c r="G5" s="10" t="s">
        <v>25</v>
      </c>
      <c r="H5" s="10" t="s">
        <v>25</v>
      </c>
      <c r="I5" s="10" t="s">
        <v>25</v>
      </c>
      <c r="L5" t="s">
        <v>21</v>
      </c>
      <c r="N5" s="2" t="s">
        <v>21</v>
      </c>
      <c r="P5" s="10" t="s">
        <v>21</v>
      </c>
      <c r="R5" s="5" t="s">
        <v>21</v>
      </c>
      <c r="S5" s="5"/>
      <c r="T5" s="5" t="s">
        <v>21</v>
      </c>
      <c r="V5" s="18" t="s">
        <v>21</v>
      </c>
      <c r="X5" s="46" t="s">
        <v>21</v>
      </c>
      <c r="Z5" s="50" t="s">
        <v>114</v>
      </c>
      <c r="AB5" t="s">
        <v>21</v>
      </c>
    </row>
    <row r="6" spans="2:28" x14ac:dyDescent="0.25">
      <c r="B6" t="s">
        <v>244</v>
      </c>
      <c r="D6" t="s">
        <v>0</v>
      </c>
      <c r="F6" s="12" t="s">
        <v>142</v>
      </c>
      <c r="G6" s="10" t="str">
        <f>CCU_Table[[#Headers],[CCU]]&amp;CCU_Table[[#This Row],[CCU]]</f>
        <v>CCUTop_Level</v>
      </c>
      <c r="H6" s="43" t="s">
        <v>498</v>
      </c>
      <c r="I6" s="44" t="s">
        <v>410</v>
      </c>
      <c r="L6" t="s">
        <v>71</v>
      </c>
      <c r="P6" s="19" t="s">
        <v>64</v>
      </c>
      <c r="R6" s="36" t="s">
        <v>66</v>
      </c>
      <c r="S6" s="36"/>
      <c r="T6" s="81" t="s">
        <v>337</v>
      </c>
      <c r="V6" s="42" t="s">
        <v>143</v>
      </c>
      <c r="X6" s="46" t="s">
        <v>163</v>
      </c>
      <c r="Z6" s="50" t="s">
        <v>192</v>
      </c>
      <c r="AB6" t="s">
        <v>224</v>
      </c>
    </row>
    <row r="7" spans="2:28" x14ac:dyDescent="0.25">
      <c r="B7" t="s">
        <v>243</v>
      </c>
      <c r="D7" t="s">
        <v>1</v>
      </c>
      <c r="F7" s="12" t="s">
        <v>431</v>
      </c>
      <c r="G7" s="10" t="str">
        <f>CCU_Table[[#Headers],[CCU]]&amp;CCU_Table[[#This Row],[CCU]]</f>
        <v>CCUSSPB</v>
      </c>
      <c r="H7" s="10" t="s">
        <v>9</v>
      </c>
      <c r="I7" s="13" t="s">
        <v>10</v>
      </c>
      <c r="L7" t="s">
        <v>401</v>
      </c>
      <c r="P7" s="113" t="s">
        <v>406</v>
      </c>
      <c r="R7" s="36" t="s">
        <v>67</v>
      </c>
      <c r="S7" s="36"/>
      <c r="T7" s="81" t="s">
        <v>338</v>
      </c>
      <c r="V7" s="42" t="s">
        <v>144</v>
      </c>
      <c r="X7" s="46" t="s">
        <v>164</v>
      </c>
      <c r="Z7" s="50" t="s">
        <v>174</v>
      </c>
      <c r="AB7" t="s">
        <v>225</v>
      </c>
    </row>
    <row r="8" spans="2:28" x14ac:dyDescent="0.25">
      <c r="D8" t="s">
        <v>3</v>
      </c>
      <c r="F8" s="12" t="s">
        <v>432</v>
      </c>
      <c r="G8" s="10" t="str">
        <f>CCU_Table[[#Headers],[CCU]]&amp;CCU_Table[[#This Row],[CCU]]</f>
        <v>CCUSSPA</v>
      </c>
      <c r="H8" s="10" t="s">
        <v>11</v>
      </c>
      <c r="I8" s="13" t="s">
        <v>12</v>
      </c>
      <c r="L8" t="s">
        <v>72</v>
      </c>
      <c r="P8" s="113" t="s">
        <v>407</v>
      </c>
      <c r="R8" s="36" t="s">
        <v>68</v>
      </c>
      <c r="S8" s="36"/>
      <c r="T8" s="81" t="s">
        <v>404</v>
      </c>
      <c r="V8" s="42" t="s">
        <v>145</v>
      </c>
      <c r="X8" s="2" t="s">
        <v>165</v>
      </c>
      <c r="Z8" s="50" t="s">
        <v>191</v>
      </c>
      <c r="AB8" t="s">
        <v>226</v>
      </c>
    </row>
    <row r="9" spans="2:28" x14ac:dyDescent="0.25">
      <c r="D9" t="s">
        <v>2</v>
      </c>
      <c r="F9" s="12" t="s">
        <v>430</v>
      </c>
      <c r="G9" s="10" t="str">
        <f>CCU_Table[[#Headers],[CCU]]&amp;CCU_Table[[#This Row],[CCU]]</f>
        <v>CCUPSPUA</v>
      </c>
      <c r="H9" s="10" t="s">
        <v>414</v>
      </c>
      <c r="I9" s="13" t="s">
        <v>412</v>
      </c>
      <c r="L9" t="s">
        <v>73</v>
      </c>
      <c r="P9" s="113" t="s">
        <v>408</v>
      </c>
      <c r="R9" s="81" t="s">
        <v>404</v>
      </c>
      <c r="S9" s="81"/>
      <c r="T9" s="81" t="s">
        <v>405</v>
      </c>
      <c r="V9" s="42" t="s">
        <v>146</v>
      </c>
      <c r="Z9" s="50" t="s">
        <v>190</v>
      </c>
      <c r="AB9" t="s">
        <v>227</v>
      </c>
    </row>
    <row r="10" spans="2:28" x14ac:dyDescent="0.25">
      <c r="F10" s="12" t="s">
        <v>4</v>
      </c>
      <c r="G10" s="10" t="str">
        <f>CCU_Table[[#Headers],[CCU]]&amp;CCU_Table[[#This Row],[CCU]]</f>
        <v>CCUADD</v>
      </c>
      <c r="H10" s="10" t="s">
        <v>13</v>
      </c>
      <c r="I10" s="13" t="s">
        <v>14</v>
      </c>
      <c r="L10" t="s">
        <v>74</v>
      </c>
      <c r="P10" s="113" t="s">
        <v>409</v>
      </c>
      <c r="R10" s="81" t="s">
        <v>405</v>
      </c>
      <c r="S10" s="81"/>
      <c r="T10" s="81" t="s">
        <v>437</v>
      </c>
      <c r="V10" s="42" t="s">
        <v>147</v>
      </c>
      <c r="Z10" s="50" t="s">
        <v>189</v>
      </c>
      <c r="AB10" t="s">
        <v>228</v>
      </c>
    </row>
    <row r="11" spans="2:28" x14ac:dyDescent="0.25">
      <c r="F11" s="12" t="s">
        <v>5</v>
      </c>
      <c r="G11" s="10" t="str">
        <f>CCU_Table[[#Headers],[CCU]]&amp;CCU_Table[[#This Row],[CCU]]</f>
        <v>CCUFDR</v>
      </c>
      <c r="H11" s="10" t="s">
        <v>15</v>
      </c>
      <c r="I11" s="13" t="s">
        <v>16</v>
      </c>
      <c r="L11" t="s">
        <v>75</v>
      </c>
      <c r="P11" s="113" t="s">
        <v>442</v>
      </c>
      <c r="R11" s="81" t="s">
        <v>465</v>
      </c>
      <c r="T11" s="81" t="s">
        <v>438</v>
      </c>
      <c r="V11" s="42" t="s">
        <v>148</v>
      </c>
      <c r="Z11" s="50" t="s">
        <v>188</v>
      </c>
      <c r="AB11" t="s">
        <v>229</v>
      </c>
    </row>
    <row r="12" spans="2:28" x14ac:dyDescent="0.25">
      <c r="F12" s="12" t="s">
        <v>6</v>
      </c>
      <c r="G12" s="10" t="str">
        <f>CCU_Table[[#Headers],[CCU]]&amp;CCU_Table[[#This Row],[CCU]]</f>
        <v>CCUBIU</v>
      </c>
      <c r="H12" s="10" t="s">
        <v>17</v>
      </c>
      <c r="I12" s="13" t="s">
        <v>18</v>
      </c>
      <c r="L12" t="s">
        <v>76</v>
      </c>
      <c r="P12" s="114" t="s">
        <v>443</v>
      </c>
      <c r="R12" s="125"/>
      <c r="T12" s="81" t="s">
        <v>439</v>
      </c>
      <c r="V12" s="42" t="s">
        <v>149</v>
      </c>
      <c r="Z12" s="50" t="s">
        <v>187</v>
      </c>
      <c r="AB12" t="s">
        <v>230</v>
      </c>
    </row>
    <row r="13" spans="2:28" x14ac:dyDescent="0.25">
      <c r="F13" s="3" t="s">
        <v>7</v>
      </c>
      <c r="G13" s="10" t="str">
        <f>CCU_Table[[#Headers],[CCU]]&amp;CCU_Table[[#This Row],[CCU]]</f>
        <v>CCULPS</v>
      </c>
      <c r="H13" s="15" t="s">
        <v>19</v>
      </c>
      <c r="I13" s="1" t="s">
        <v>20</v>
      </c>
      <c r="L13" t="s">
        <v>77</v>
      </c>
      <c r="P13" s="114" t="s">
        <v>444</v>
      </c>
      <c r="R13" s="125"/>
      <c r="T13" s="81" t="s">
        <v>440</v>
      </c>
      <c r="V13" s="42" t="s">
        <v>150</v>
      </c>
      <c r="Z13" s="50" t="s">
        <v>186</v>
      </c>
      <c r="AB13" t="s">
        <v>231</v>
      </c>
    </row>
    <row r="14" spans="2:28" x14ac:dyDescent="0.25">
      <c r="F14" s="3" t="s">
        <v>430</v>
      </c>
      <c r="G14" s="15" t="s">
        <v>413</v>
      </c>
      <c r="H14" s="15" t="s">
        <v>411</v>
      </c>
      <c r="I14" s="1" t="s">
        <v>415</v>
      </c>
      <c r="L14" t="s">
        <v>78</v>
      </c>
      <c r="P14" s="114" t="s">
        <v>445</v>
      </c>
      <c r="R14" s="125"/>
      <c r="T14" s="125" t="s">
        <v>441</v>
      </c>
      <c r="V14" s="42" t="s">
        <v>151</v>
      </c>
      <c r="Z14" s="50" t="s">
        <v>185</v>
      </c>
      <c r="AB14" t="s">
        <v>232</v>
      </c>
    </row>
    <row r="15" spans="2:28" x14ac:dyDescent="0.25">
      <c r="F15" s="10" t="s">
        <v>142</v>
      </c>
      <c r="G15" s="10" t="e">
        <f>OCU_Table[[#Headers],[OCU]]&amp;OCU_Table[[#This Row],[OCU]]</f>
        <v>#VALUE!</v>
      </c>
      <c r="H15" s="43" t="s">
        <v>152</v>
      </c>
      <c r="I15" s="43" t="s">
        <v>153</v>
      </c>
      <c r="L15" t="s">
        <v>79</v>
      </c>
      <c r="P15" s="114" t="s">
        <v>449</v>
      </c>
      <c r="R15" s="125"/>
      <c r="T15" s="133" t="s">
        <v>465</v>
      </c>
      <c r="Z15" s="50" t="s">
        <v>194</v>
      </c>
      <c r="AB15" t="s">
        <v>233</v>
      </c>
    </row>
    <row r="16" spans="2:28" x14ac:dyDescent="0.25">
      <c r="F16" s="12" t="s">
        <v>428</v>
      </c>
      <c r="G16" s="10"/>
      <c r="H16" s="43" t="s">
        <v>429</v>
      </c>
      <c r="I16" s="44"/>
      <c r="L16" t="s">
        <v>80</v>
      </c>
      <c r="P16" s="114" t="s">
        <v>464</v>
      </c>
      <c r="R16" s="125"/>
      <c r="Z16" s="50" t="s">
        <v>184</v>
      </c>
      <c r="AB16" t="s">
        <v>234</v>
      </c>
    </row>
    <row r="17" spans="6:28" x14ac:dyDescent="0.25">
      <c r="F17" s="10" t="s">
        <v>23</v>
      </c>
      <c r="G17" s="10" t="e">
        <f>OCU_Table[[#Headers],[OCU]]&amp;OCU_Table[[#This Row],[OCU]]</f>
        <v>#VALUE!</v>
      </c>
      <c r="H17" s="10" t="s">
        <v>35</v>
      </c>
      <c r="I17" s="10" t="s">
        <v>37</v>
      </c>
      <c r="L17" t="s">
        <v>81</v>
      </c>
      <c r="P17" s="134" t="s">
        <v>495</v>
      </c>
      <c r="R17" s="125"/>
      <c r="Z17" s="50" t="s">
        <v>183</v>
      </c>
      <c r="AB17" t="s">
        <v>235</v>
      </c>
    </row>
    <row r="18" spans="6:28" x14ac:dyDescent="0.25">
      <c r="F18" s="10" t="s">
        <v>24</v>
      </c>
      <c r="G18" s="10" t="e">
        <f>OCU_Table[[#Headers],[OCU]]&amp;OCU_Table[[#This Row],[OCU]]</f>
        <v>#VALUE!</v>
      </c>
      <c r="H18" s="10" t="s">
        <v>36</v>
      </c>
      <c r="I18" s="10" t="s">
        <v>38</v>
      </c>
      <c r="L18" t="s">
        <v>82</v>
      </c>
      <c r="R18" s="125"/>
      <c r="Z18" s="50" t="s">
        <v>182</v>
      </c>
      <c r="AB18" t="s">
        <v>236</v>
      </c>
    </row>
    <row r="19" spans="6:28" x14ac:dyDescent="0.25">
      <c r="F19" s="17" t="s">
        <v>142</v>
      </c>
      <c r="G19" s="17" t="e">
        <f>FSAB_A_Table[[#Headers],[FSAB_A]]&amp;FSAB_A_Table[[#This Row],[FSAB_A]]</f>
        <v>#VALUE!</v>
      </c>
      <c r="H19" s="45" t="s">
        <v>154</v>
      </c>
      <c r="I19" s="45" t="s">
        <v>155</v>
      </c>
      <c r="L19" t="s">
        <v>83</v>
      </c>
      <c r="R19" s="125"/>
      <c r="Z19" s="50" t="s">
        <v>112</v>
      </c>
      <c r="AB19" t="s">
        <v>237</v>
      </c>
    </row>
    <row r="20" spans="6:28" x14ac:dyDescent="0.25">
      <c r="F20" s="17" t="s">
        <v>22</v>
      </c>
      <c r="G20" s="17" t="e">
        <f>FSAB_A_Table[[#Headers],[FSAB_A]]&amp;FSAB_A_Table[[#This Row],[FSAB_A]]</f>
        <v>#VALUE!</v>
      </c>
      <c r="H20" s="17" t="s">
        <v>29</v>
      </c>
      <c r="I20" s="17" t="s">
        <v>39</v>
      </c>
      <c r="L20" t="s">
        <v>402</v>
      </c>
      <c r="R20" s="125"/>
      <c r="Z20" s="50" t="s">
        <v>181</v>
      </c>
      <c r="AB20" t="s">
        <v>238</v>
      </c>
    </row>
    <row r="21" spans="6:28" x14ac:dyDescent="0.25">
      <c r="F21" s="17" t="s">
        <v>6</v>
      </c>
      <c r="G21" s="17" t="e">
        <f>FSAB_A_Table[[#Headers],[FSAB_A]]&amp;FSAB_A_Table[[#This Row],[FSAB_A]]</f>
        <v>#VALUE!</v>
      </c>
      <c r="H21" s="17" t="s">
        <v>30</v>
      </c>
      <c r="I21" s="17" t="s">
        <v>40</v>
      </c>
      <c r="K21" s="18"/>
      <c r="L21" t="s">
        <v>480</v>
      </c>
      <c r="R21" s="125"/>
      <c r="Z21" s="51" t="s">
        <v>21</v>
      </c>
      <c r="AB21" t="s">
        <v>448</v>
      </c>
    </row>
    <row r="22" spans="6:28" x14ac:dyDescent="0.25">
      <c r="F22" s="17" t="s">
        <v>26</v>
      </c>
      <c r="G22" s="17" t="e">
        <f>FSAB_D_Table[[#Headers],[FSAB_D]]&amp;FSAB_D_Table[[#This Row],[FSAB_D]]</f>
        <v>#VALUE!</v>
      </c>
      <c r="H22" s="17" t="s">
        <v>31</v>
      </c>
      <c r="I22" s="17" t="s">
        <v>41</v>
      </c>
      <c r="R22" s="125"/>
      <c r="Z22" s="50" t="s">
        <v>173</v>
      </c>
    </row>
    <row r="23" spans="6:28" x14ac:dyDescent="0.25">
      <c r="F23" s="17" t="s">
        <v>27</v>
      </c>
      <c r="G23" s="17" t="e">
        <f>FSAB_D_Table[[#Headers],[FSAB_D]]&amp;FSAB_D_Table[[#This Row],[FSAB_D]]</f>
        <v>#VALUE!</v>
      </c>
      <c r="H23" s="17" t="s">
        <v>32</v>
      </c>
      <c r="I23" s="17" t="s">
        <v>42</v>
      </c>
      <c r="R23" s="125"/>
      <c r="Z23" s="50" t="s">
        <v>195</v>
      </c>
    </row>
    <row r="24" spans="6:28" x14ac:dyDescent="0.25">
      <c r="F24" s="17" t="s">
        <v>6</v>
      </c>
      <c r="G24" s="17" t="e">
        <f>FSAB_D_Table[[#Headers],[FSAB_D]]&amp;FSAB_D_Table[[#This Row],[FSAB_D]]</f>
        <v>#VALUE!</v>
      </c>
      <c r="H24" s="17" t="s">
        <v>33</v>
      </c>
      <c r="I24" s="17" t="s">
        <v>43</v>
      </c>
      <c r="R24" s="125"/>
      <c r="Z24" s="50" t="s">
        <v>180</v>
      </c>
    </row>
    <row r="25" spans="6:28" x14ac:dyDescent="0.25">
      <c r="F25" s="17" t="s">
        <v>28</v>
      </c>
      <c r="G25" s="17" t="e">
        <f>FSAB_D_Table[[#Headers],[FSAB_D]]&amp;FSAB_D_Table[[#This Row],[FSAB_D]]</f>
        <v>#VALUE!</v>
      </c>
      <c r="H25" s="17" t="s">
        <v>34</v>
      </c>
      <c r="I25" s="17" t="s">
        <v>44</v>
      </c>
      <c r="R25" s="125"/>
      <c r="Z25" s="50" t="s">
        <v>450</v>
      </c>
    </row>
    <row r="26" spans="6:28" x14ac:dyDescent="0.25">
      <c r="F26" s="3" t="s">
        <v>142</v>
      </c>
      <c r="G26" s="15"/>
      <c r="H26" s="15" t="s">
        <v>156</v>
      </c>
      <c r="I26" s="1" t="s">
        <v>157</v>
      </c>
      <c r="R26" s="125"/>
      <c r="Z26" s="50" t="s">
        <v>179</v>
      </c>
    </row>
    <row r="27" spans="6:28" x14ac:dyDescent="0.25">
      <c r="F27" s="3" t="s">
        <v>6</v>
      </c>
      <c r="G27" s="15" t="str">
        <f>CCU_Table[[#Headers],[CCU]]&amp;CCU_Table[[#This Row],[CCU]]</f>
        <v>CCUBIU</v>
      </c>
      <c r="H27" s="15" t="s">
        <v>473</v>
      </c>
      <c r="I27" s="1" t="s">
        <v>474</v>
      </c>
      <c r="R27" s="125"/>
      <c r="Z27" s="50" t="s">
        <v>193</v>
      </c>
    </row>
    <row r="28" spans="6:28" x14ac:dyDescent="0.25">
      <c r="F28" s="3" t="s">
        <v>4</v>
      </c>
      <c r="G28" s="15" t="str">
        <f>CCU_Table[[#Headers],[CCU]]&amp;CCU_Table[[#This Row],[CCU]]</f>
        <v>CCUADD</v>
      </c>
      <c r="H28" s="15" t="s">
        <v>475</v>
      </c>
      <c r="I28" s="1" t="s">
        <v>476</v>
      </c>
      <c r="R28" s="125"/>
      <c r="Z28" s="50" t="s">
        <v>178</v>
      </c>
    </row>
    <row r="29" spans="6:28" x14ac:dyDescent="0.25">
      <c r="F29" s="12" t="s">
        <v>142</v>
      </c>
      <c r="G29" s="10" t="str">
        <f>CCU_Table[[#Headers],[CCU]]&amp;CCU_Table[[#This Row],[CCU]]</f>
        <v>CCUTop_Level</v>
      </c>
      <c r="H29" s="43" t="s">
        <v>496</v>
      </c>
      <c r="I29" s="44" t="s">
        <v>410</v>
      </c>
      <c r="Z29" s="50" t="s">
        <v>177</v>
      </c>
    </row>
    <row r="30" spans="6:28" x14ac:dyDescent="0.25">
      <c r="F30" s="12"/>
      <c r="G30" s="10"/>
      <c r="H30" s="10"/>
      <c r="I30" s="13"/>
      <c r="Z30" s="50" t="s">
        <v>176</v>
      </c>
    </row>
    <row r="31" spans="6:28" x14ac:dyDescent="0.25">
      <c r="F31" s="12"/>
      <c r="G31" s="10"/>
      <c r="H31" s="10"/>
      <c r="I31" s="13"/>
      <c r="Z31" s="50" t="s">
        <v>175</v>
      </c>
    </row>
    <row r="32" spans="6:28" x14ac:dyDescent="0.25">
      <c r="F32" s="12"/>
      <c r="G32" s="10"/>
      <c r="H32" s="10"/>
      <c r="I32" s="13"/>
      <c r="Z32" s="52" t="s">
        <v>469</v>
      </c>
    </row>
    <row r="33" spans="6:26" x14ac:dyDescent="0.25">
      <c r="F33" s="12"/>
      <c r="G33" s="10"/>
      <c r="H33" s="10"/>
      <c r="I33" s="13"/>
      <c r="Z33" s="52" t="s">
        <v>470</v>
      </c>
    </row>
    <row r="34" spans="6:26" x14ac:dyDescent="0.25">
      <c r="F34" s="12"/>
      <c r="G34" s="10"/>
      <c r="H34" s="10"/>
      <c r="I34" s="13"/>
      <c r="Z34" s="52" t="s">
        <v>471</v>
      </c>
    </row>
    <row r="35" spans="6:26" x14ac:dyDescent="0.25">
      <c r="F35" s="12"/>
      <c r="G35" s="10"/>
      <c r="H35" s="10"/>
      <c r="I35" s="13"/>
      <c r="Z35" s="135" t="s">
        <v>497</v>
      </c>
    </row>
    <row r="36" spans="6:26" x14ac:dyDescent="0.25">
      <c r="F36" s="12"/>
      <c r="G36" s="10"/>
      <c r="H36" s="10"/>
      <c r="I36" s="13"/>
      <c r="Z36" s="130"/>
    </row>
    <row r="37" spans="6:26" x14ac:dyDescent="0.25">
      <c r="F37" s="12"/>
      <c r="G37" s="10"/>
      <c r="H37" s="10"/>
      <c r="I37" s="13"/>
      <c r="Z37" s="130"/>
    </row>
    <row r="38" spans="6:26" x14ac:dyDescent="0.25">
      <c r="F38" s="12"/>
      <c r="G38" s="10"/>
      <c r="H38" s="10"/>
      <c r="I38" s="13"/>
    </row>
    <row r="39" spans="6:26" x14ac:dyDescent="0.25">
      <c r="F39" s="3"/>
      <c r="G39" s="15"/>
      <c r="H39" s="15"/>
      <c r="I39" s="1"/>
    </row>
    <row r="56" spans="6:9" x14ac:dyDescent="0.25">
      <c r="F56" t="s">
        <v>1</v>
      </c>
      <c r="G56" s="14" t="s">
        <v>63</v>
      </c>
      <c r="H56" s="16" t="s">
        <v>62</v>
      </c>
      <c r="I56" s="16" t="s">
        <v>8</v>
      </c>
    </row>
    <row r="57" spans="6:9" x14ac:dyDescent="0.25">
      <c r="F57" s="10" t="s">
        <v>21</v>
      </c>
      <c r="G57" s="10" t="s">
        <v>25</v>
      </c>
      <c r="H57" s="10" t="s">
        <v>25</v>
      </c>
      <c r="I57" s="10" t="s">
        <v>25</v>
      </c>
    </row>
    <row r="58" spans="6:9" x14ac:dyDescent="0.25">
      <c r="F58" s="10" t="s">
        <v>142</v>
      </c>
      <c r="G58" s="10" t="str">
        <f>OCU_Table[[#Headers],[OCU]]&amp;OCU_Table[[#This Row],[OCU]]</f>
        <v>OCUTop_Level</v>
      </c>
      <c r="H58" s="43" t="s">
        <v>152</v>
      </c>
      <c r="I58" s="43" t="s">
        <v>153</v>
      </c>
    </row>
    <row r="59" spans="6:9" x14ac:dyDescent="0.25">
      <c r="F59" s="10" t="s">
        <v>23</v>
      </c>
      <c r="G59" s="10" t="str">
        <f>OCU_Table[[#Headers],[OCU]]&amp;OCU_Table[[#This Row],[OCU]]</f>
        <v>OCUCMS</v>
      </c>
      <c r="H59" s="10" t="s">
        <v>35</v>
      </c>
      <c r="I59" s="10" t="s">
        <v>37</v>
      </c>
    </row>
    <row r="60" spans="6:9" x14ac:dyDescent="0.25">
      <c r="F60" s="10" t="s">
        <v>24</v>
      </c>
      <c r="G60" s="10" t="str">
        <f>OCU_Table[[#Headers],[OCU]]&amp;OCU_Table[[#This Row],[OCU]]</f>
        <v>OCUSMS</v>
      </c>
      <c r="H60" s="10" t="s">
        <v>36</v>
      </c>
      <c r="I60" s="10" t="s">
        <v>38</v>
      </c>
    </row>
    <row r="62" spans="6:9" x14ac:dyDescent="0.25">
      <c r="F62" t="s">
        <v>3</v>
      </c>
      <c r="G62" s="14" t="s">
        <v>63</v>
      </c>
      <c r="H62" s="16" t="s">
        <v>62</v>
      </c>
      <c r="I62" s="16" t="s">
        <v>8</v>
      </c>
    </row>
    <row r="63" spans="6:9" x14ac:dyDescent="0.25">
      <c r="F63" s="17" t="s">
        <v>21</v>
      </c>
      <c r="G63" s="10" t="s">
        <v>25</v>
      </c>
      <c r="H63" s="10" t="s">
        <v>25</v>
      </c>
      <c r="I63" s="10" t="s">
        <v>25</v>
      </c>
    </row>
    <row r="64" spans="6:9" x14ac:dyDescent="0.25">
      <c r="F64" s="17" t="s">
        <v>142</v>
      </c>
      <c r="G64" s="17" t="str">
        <f>FSAB_A_Table[[#Headers],[FSAB_A]]&amp;FSAB_A_Table[[#This Row],[FSAB_A]]</f>
        <v>FSAB_ATop_Level</v>
      </c>
      <c r="H64" s="45" t="s">
        <v>154</v>
      </c>
      <c r="I64" s="45" t="s">
        <v>155</v>
      </c>
    </row>
    <row r="65" spans="6:9" x14ac:dyDescent="0.25">
      <c r="F65" s="17" t="s">
        <v>22</v>
      </c>
      <c r="G65" s="17" t="str">
        <f>FSAB_A_Table[[#Headers],[FSAB_A]]&amp;FSAB_A_Table[[#This Row],[FSAB_A]]</f>
        <v>FSAB_AHBS</v>
      </c>
      <c r="H65" s="17" t="s">
        <v>29</v>
      </c>
      <c r="I65" s="17" t="s">
        <v>39</v>
      </c>
    </row>
    <row r="66" spans="6:9" x14ac:dyDescent="0.25">
      <c r="F66" s="17" t="s">
        <v>6</v>
      </c>
      <c r="G66" s="17" t="str">
        <f>FSAB_A_Table[[#Headers],[FSAB_A]]&amp;FSAB_A_Table[[#This Row],[FSAB_A]]</f>
        <v>FSAB_ABIU</v>
      </c>
      <c r="H66" s="17" t="s">
        <v>30</v>
      </c>
      <c r="I66" s="17" t="s">
        <v>40</v>
      </c>
    </row>
    <row r="68" spans="6:9" x14ac:dyDescent="0.25">
      <c r="F68" t="s">
        <v>2</v>
      </c>
      <c r="G68" s="14" t="s">
        <v>63</v>
      </c>
      <c r="H68" s="16" t="s">
        <v>62</v>
      </c>
      <c r="I68" s="16" t="s">
        <v>8</v>
      </c>
    </row>
    <row r="69" spans="6:9" x14ac:dyDescent="0.25">
      <c r="F69" s="17" t="s">
        <v>21</v>
      </c>
      <c r="G69" s="10" t="s">
        <v>25</v>
      </c>
      <c r="H69" s="10" t="s">
        <v>25</v>
      </c>
      <c r="I69" s="10" t="s">
        <v>25</v>
      </c>
    </row>
    <row r="70" spans="6:9" x14ac:dyDescent="0.25">
      <c r="F70" s="17" t="s">
        <v>142</v>
      </c>
      <c r="G70" s="17" t="str">
        <f>FSAB_D_Table[[#Headers],[FSAB_D]]&amp;FSAB_D_Table[[#This Row],[FSAB_D]]</f>
        <v>FSAB_DTop_Level</v>
      </c>
      <c r="H70" s="45" t="s">
        <v>156</v>
      </c>
      <c r="I70" s="45" t="s">
        <v>157</v>
      </c>
    </row>
    <row r="71" spans="6:9" x14ac:dyDescent="0.25">
      <c r="F71" s="17" t="s">
        <v>26</v>
      </c>
      <c r="G71" s="17" t="str">
        <f>FSAB_D_Table[[#Headers],[FSAB_D]]&amp;FSAB_D_Table[[#This Row],[FSAB_D]]</f>
        <v>FSAB_DHKPS</v>
      </c>
      <c r="H71" s="17" t="s">
        <v>31</v>
      </c>
      <c r="I71" s="17" t="s">
        <v>41</v>
      </c>
    </row>
    <row r="72" spans="6:9" x14ac:dyDescent="0.25">
      <c r="F72" s="17" t="s">
        <v>27</v>
      </c>
      <c r="G72" s="17" t="str">
        <f>FSAB_D_Table[[#Headers],[FSAB_D]]&amp;FSAB_D_Table[[#This Row],[FSAB_D]]</f>
        <v>FSAB_DFLS</v>
      </c>
      <c r="H72" s="17" t="s">
        <v>32</v>
      </c>
      <c r="I72" s="17" t="s">
        <v>42</v>
      </c>
    </row>
    <row r="73" spans="6:9" x14ac:dyDescent="0.25">
      <c r="F73" s="17" t="s">
        <v>6</v>
      </c>
      <c r="G73" s="17" t="str">
        <f>FSAB_D_Table[[#Headers],[FSAB_D]]&amp;FSAB_D_Table[[#This Row],[FSAB_D]]</f>
        <v>FSAB_DBIU</v>
      </c>
      <c r="H73" s="17" t="s">
        <v>33</v>
      </c>
      <c r="I73" s="17" t="s">
        <v>43</v>
      </c>
    </row>
    <row r="74" spans="6:9" x14ac:dyDescent="0.25">
      <c r="F74" s="17" t="s">
        <v>28</v>
      </c>
      <c r="G74" s="17" t="str">
        <f>FSAB_D_Table[[#Headers],[FSAB_D]]&amp;FSAB_D_Table[[#This Row],[FSAB_D]]</f>
        <v>FSAB_DTVC</v>
      </c>
      <c r="H74" s="17" t="s">
        <v>34</v>
      </c>
      <c r="I74" s="17" t="s">
        <v>44</v>
      </c>
    </row>
  </sheetData>
  <dataValidations count="1">
    <dataValidation type="list" allowBlank="1" showInputMessage="1" showErrorMessage="1" sqref="F4 F68 F62 F56">
      <formula1>ProgramList</formula1>
    </dataValidation>
  </dataValidation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AE55"/>
  <sheetViews>
    <sheetView workbookViewId="0">
      <selection activeCell="D19" sqref="D19"/>
    </sheetView>
  </sheetViews>
  <sheetFormatPr defaultRowHeight="15" x14ac:dyDescent="0.25"/>
  <cols>
    <col min="3" max="3" width="12.7109375" bestFit="1" customWidth="1"/>
    <col min="4" max="4" width="17.5703125" bestFit="1" customWidth="1"/>
    <col min="5" max="5" width="17.5703125" customWidth="1"/>
    <col min="6" max="31" width="13.42578125" bestFit="1" customWidth="1"/>
  </cols>
  <sheetData>
    <row r="3" spans="2:31" x14ac:dyDescent="0.25">
      <c r="B3" s="18" t="s">
        <v>334</v>
      </c>
      <c r="C3" s="18" t="s">
        <v>335</v>
      </c>
      <c r="D3" s="18" t="s">
        <v>336</v>
      </c>
      <c r="F3" s="69" t="s">
        <v>244</v>
      </c>
      <c r="G3" s="70" t="s">
        <v>249</v>
      </c>
      <c r="H3" s="70" t="s">
        <v>251</v>
      </c>
      <c r="I3" s="70" t="s">
        <v>253</v>
      </c>
      <c r="J3" s="70" t="s">
        <v>255</v>
      </c>
      <c r="K3" s="70" t="s">
        <v>257</v>
      </c>
      <c r="L3" s="70" t="s">
        <v>259</v>
      </c>
      <c r="M3" s="70" t="s">
        <v>26</v>
      </c>
      <c r="N3" s="70" t="s">
        <v>262</v>
      </c>
      <c r="O3" s="70" t="s">
        <v>264</v>
      </c>
      <c r="P3" s="70" t="s">
        <v>266</v>
      </c>
      <c r="Q3" s="70" t="s">
        <v>268</v>
      </c>
      <c r="R3" s="70" t="s">
        <v>270</v>
      </c>
      <c r="S3" s="70" t="s">
        <v>272</v>
      </c>
      <c r="T3" s="70" t="s">
        <v>479</v>
      </c>
      <c r="U3" s="70" t="s">
        <v>275</v>
      </c>
      <c r="V3" s="70" t="s">
        <v>277</v>
      </c>
      <c r="W3" s="70" t="s">
        <v>278</v>
      </c>
      <c r="X3" s="70" t="s">
        <v>279</v>
      </c>
      <c r="Y3" s="70" t="s">
        <v>298</v>
      </c>
      <c r="Z3" s="70" t="s">
        <v>300</v>
      </c>
      <c r="AA3" s="70" t="s">
        <v>302</v>
      </c>
      <c r="AB3" s="70" t="s">
        <v>304</v>
      </c>
      <c r="AC3" s="70" t="s">
        <v>321</v>
      </c>
      <c r="AD3" s="70" t="s">
        <v>313</v>
      </c>
      <c r="AE3" s="70" t="s">
        <v>315</v>
      </c>
    </row>
    <row r="4" spans="2:31" x14ac:dyDescent="0.25">
      <c r="B4" s="76" t="s">
        <v>249</v>
      </c>
      <c r="C4" s="77" t="s">
        <v>250</v>
      </c>
      <c r="D4" s="18" t="s">
        <v>245</v>
      </c>
      <c r="F4" s="36" t="s">
        <v>21</v>
      </c>
      <c r="G4" s="36" t="s">
        <v>21</v>
      </c>
      <c r="H4" s="36" t="s">
        <v>21</v>
      </c>
      <c r="I4" s="36" t="s">
        <v>21</v>
      </c>
      <c r="J4" s="36" t="s">
        <v>21</v>
      </c>
      <c r="K4" s="36" t="s">
        <v>21</v>
      </c>
      <c r="L4" s="36" t="s">
        <v>21</v>
      </c>
      <c r="M4" s="36" t="s">
        <v>21</v>
      </c>
      <c r="N4" s="36" t="s">
        <v>21</v>
      </c>
      <c r="O4" s="36" t="s">
        <v>21</v>
      </c>
      <c r="P4" s="36" t="s">
        <v>21</v>
      </c>
      <c r="Q4" s="36" t="s">
        <v>21</v>
      </c>
      <c r="R4" s="36" t="s">
        <v>21</v>
      </c>
      <c r="S4" s="36" t="s">
        <v>21</v>
      </c>
      <c r="T4" s="36" t="s">
        <v>21</v>
      </c>
      <c r="U4" s="36" t="s">
        <v>21</v>
      </c>
      <c r="V4" s="36" t="s">
        <v>21</v>
      </c>
      <c r="W4" s="36" t="s">
        <v>21</v>
      </c>
      <c r="X4" s="36" t="s">
        <v>21</v>
      </c>
      <c r="Y4" s="36" t="s">
        <v>21</v>
      </c>
      <c r="Z4" s="36" t="s">
        <v>21</v>
      </c>
      <c r="AA4" s="36" t="s">
        <v>21</v>
      </c>
      <c r="AB4" s="36" t="s">
        <v>21</v>
      </c>
      <c r="AC4" s="36" t="s">
        <v>21</v>
      </c>
      <c r="AD4" s="36" t="s">
        <v>21</v>
      </c>
      <c r="AE4" s="36" t="s">
        <v>21</v>
      </c>
    </row>
    <row r="5" spans="2:31" x14ac:dyDescent="0.25">
      <c r="B5" s="76" t="s">
        <v>251</v>
      </c>
      <c r="C5" s="77" t="s">
        <v>252</v>
      </c>
      <c r="D5" s="18" t="s">
        <v>245</v>
      </c>
      <c r="F5" s="72" t="s">
        <v>317</v>
      </c>
      <c r="G5" s="71" t="s">
        <v>250</v>
      </c>
      <c r="H5" s="71" t="s">
        <v>252</v>
      </c>
      <c r="I5" s="71" t="s">
        <v>254</v>
      </c>
      <c r="J5" s="71" t="s">
        <v>256</v>
      </c>
      <c r="K5" s="71" t="s">
        <v>258</v>
      </c>
      <c r="L5" s="71" t="s">
        <v>260</v>
      </c>
      <c r="M5" s="71" t="s">
        <v>261</v>
      </c>
      <c r="N5" s="71" t="s">
        <v>263</v>
      </c>
      <c r="O5" s="71" t="s">
        <v>265</v>
      </c>
      <c r="P5" s="71" t="s">
        <v>267</v>
      </c>
      <c r="Q5" s="71" t="s">
        <v>481</v>
      </c>
      <c r="R5" s="71" t="s">
        <v>485</v>
      </c>
      <c r="S5" s="71" t="s">
        <v>273</v>
      </c>
      <c r="T5" s="71" t="s">
        <v>487</v>
      </c>
      <c r="U5" s="71" t="s">
        <v>276</v>
      </c>
      <c r="V5" s="71" t="s">
        <v>25</v>
      </c>
      <c r="W5" s="71" t="s">
        <v>25</v>
      </c>
      <c r="X5" s="71" t="s">
        <v>25</v>
      </c>
      <c r="Y5" s="71" t="s">
        <v>25</v>
      </c>
      <c r="Z5" s="71" t="s">
        <v>25</v>
      </c>
      <c r="AA5" s="71" t="s">
        <v>25</v>
      </c>
      <c r="AB5" s="71" t="s">
        <v>25</v>
      </c>
      <c r="AC5" s="71" t="s">
        <v>25</v>
      </c>
      <c r="AD5" s="71" t="s">
        <v>25</v>
      </c>
      <c r="AE5" s="71" t="s">
        <v>25</v>
      </c>
    </row>
    <row r="6" spans="2:31" x14ac:dyDescent="0.25">
      <c r="B6" s="76" t="s">
        <v>253</v>
      </c>
      <c r="C6" s="77" t="s">
        <v>254</v>
      </c>
      <c r="D6" s="18" t="s">
        <v>245</v>
      </c>
      <c r="F6" s="72" t="s">
        <v>318</v>
      </c>
      <c r="G6" s="71" t="s">
        <v>280</v>
      </c>
      <c r="H6" s="71" t="s">
        <v>25</v>
      </c>
      <c r="I6" s="71" t="s">
        <v>25</v>
      </c>
      <c r="J6" s="71" t="s">
        <v>25</v>
      </c>
      <c r="K6" s="71" t="s">
        <v>281</v>
      </c>
      <c r="L6" s="71" t="s">
        <v>25</v>
      </c>
      <c r="M6" s="71" t="s">
        <v>282</v>
      </c>
      <c r="N6" s="71" t="s">
        <v>283</v>
      </c>
      <c r="O6" s="71" t="s">
        <v>284</v>
      </c>
      <c r="P6" s="71" t="s">
        <v>25</v>
      </c>
      <c r="Q6" s="71" t="s">
        <v>483</v>
      </c>
      <c r="R6" s="71" t="s">
        <v>25</v>
      </c>
      <c r="S6" s="71" t="s">
        <v>25</v>
      </c>
      <c r="T6" s="71" t="s">
        <v>488</v>
      </c>
      <c r="U6" s="71" t="s">
        <v>276</v>
      </c>
      <c r="V6" s="71" t="s">
        <v>287</v>
      </c>
      <c r="W6" s="71" t="s">
        <v>288</v>
      </c>
      <c r="X6" s="71" t="s">
        <v>492</v>
      </c>
      <c r="Y6" s="71" t="s">
        <v>25</v>
      </c>
      <c r="Z6" s="71" t="s">
        <v>25</v>
      </c>
      <c r="AA6" s="71" t="s">
        <v>25</v>
      </c>
      <c r="AB6" s="71" t="s">
        <v>25</v>
      </c>
      <c r="AC6" s="71" t="s">
        <v>25</v>
      </c>
      <c r="AD6" s="71" t="s">
        <v>25</v>
      </c>
      <c r="AE6" s="71" t="s">
        <v>25</v>
      </c>
    </row>
    <row r="7" spans="2:31" x14ac:dyDescent="0.25">
      <c r="B7" s="76" t="s">
        <v>255</v>
      </c>
      <c r="C7" s="77" t="s">
        <v>256</v>
      </c>
      <c r="D7" s="18" t="s">
        <v>245</v>
      </c>
      <c r="F7" s="72" t="s">
        <v>319</v>
      </c>
      <c r="G7" s="71" t="s">
        <v>290</v>
      </c>
      <c r="H7" s="71" t="s">
        <v>25</v>
      </c>
      <c r="I7" s="71" t="s">
        <v>25</v>
      </c>
      <c r="J7" s="71" t="s">
        <v>25</v>
      </c>
      <c r="K7" s="71" t="s">
        <v>291</v>
      </c>
      <c r="L7" s="71" t="s">
        <v>292</v>
      </c>
      <c r="M7" s="71" t="s">
        <v>293</v>
      </c>
      <c r="N7" s="71" t="s">
        <v>294</v>
      </c>
      <c r="O7" s="71" t="s">
        <v>295</v>
      </c>
      <c r="P7" s="71" t="s">
        <v>25</v>
      </c>
      <c r="Q7" s="71" t="s">
        <v>482</v>
      </c>
      <c r="R7" s="71" t="s">
        <v>25</v>
      </c>
      <c r="S7" s="71" t="s">
        <v>25</v>
      </c>
      <c r="T7" s="71" t="s">
        <v>489</v>
      </c>
      <c r="U7" s="71" t="s">
        <v>25</v>
      </c>
      <c r="V7" s="71" t="s">
        <v>25</v>
      </c>
      <c r="W7" s="71" t="s">
        <v>25</v>
      </c>
      <c r="X7" s="71" t="s">
        <v>25</v>
      </c>
      <c r="Y7" s="71" t="s">
        <v>299</v>
      </c>
      <c r="Z7" s="71" t="s">
        <v>301</v>
      </c>
      <c r="AA7" s="71" t="s">
        <v>490</v>
      </c>
      <c r="AB7" s="71" t="s">
        <v>305</v>
      </c>
      <c r="AC7" s="71" t="s">
        <v>306</v>
      </c>
      <c r="AD7" s="71" t="s">
        <v>309</v>
      </c>
      <c r="AE7" s="71" t="s">
        <v>25</v>
      </c>
    </row>
    <row r="8" spans="2:31" x14ac:dyDescent="0.25">
      <c r="B8" s="76" t="s">
        <v>257</v>
      </c>
      <c r="C8" s="77" t="s">
        <v>258</v>
      </c>
      <c r="D8" s="18" t="s">
        <v>245</v>
      </c>
      <c r="F8" s="72" t="s">
        <v>320</v>
      </c>
      <c r="G8" s="71" t="s">
        <v>307</v>
      </c>
      <c r="H8" s="71" t="s">
        <v>25</v>
      </c>
      <c r="I8" s="71" t="s">
        <v>308</v>
      </c>
      <c r="J8" s="71" t="s">
        <v>309</v>
      </c>
      <c r="K8" s="71" t="s">
        <v>310</v>
      </c>
      <c r="L8" s="71" t="s">
        <v>25</v>
      </c>
      <c r="M8" s="71" t="s">
        <v>261</v>
      </c>
      <c r="N8" s="71" t="s">
        <v>263</v>
      </c>
      <c r="O8" s="71" t="s">
        <v>265</v>
      </c>
      <c r="P8" s="71" t="s">
        <v>311</v>
      </c>
      <c r="Q8" s="71" t="s">
        <v>484</v>
      </c>
      <c r="R8" s="71" t="s">
        <v>486</v>
      </c>
      <c r="S8" s="71" t="s">
        <v>25</v>
      </c>
      <c r="T8" s="71" t="s">
        <v>25</v>
      </c>
      <c r="U8" s="71" t="s">
        <v>276</v>
      </c>
      <c r="V8" s="71" t="s">
        <v>25</v>
      </c>
      <c r="W8" s="71" t="s">
        <v>25</v>
      </c>
      <c r="X8" s="71" t="s">
        <v>25</v>
      </c>
      <c r="Y8" s="71" t="s">
        <v>25</v>
      </c>
      <c r="Z8" s="71" t="s">
        <v>25</v>
      </c>
      <c r="AA8" s="71" t="s">
        <v>25</v>
      </c>
      <c r="AB8" s="71" t="s">
        <v>25</v>
      </c>
      <c r="AC8" s="71" t="s">
        <v>25</v>
      </c>
      <c r="AD8" s="71" t="s">
        <v>314</v>
      </c>
      <c r="AE8" s="71" t="s">
        <v>491</v>
      </c>
    </row>
    <row r="9" spans="2:31" x14ac:dyDescent="0.25">
      <c r="B9" s="76" t="s">
        <v>259</v>
      </c>
      <c r="C9" s="77" t="s">
        <v>260</v>
      </c>
      <c r="D9" s="18" t="s">
        <v>245</v>
      </c>
    </row>
    <row r="10" spans="2:31" x14ac:dyDescent="0.25">
      <c r="B10" s="76" t="s">
        <v>26</v>
      </c>
      <c r="C10" s="77" t="s">
        <v>261</v>
      </c>
      <c r="D10" s="18" t="s">
        <v>493</v>
      </c>
      <c r="F10" t="s">
        <v>244</v>
      </c>
      <c r="G10" s="73" t="s">
        <v>317</v>
      </c>
      <c r="H10" s="73" t="s">
        <v>318</v>
      </c>
      <c r="I10" s="73" t="s">
        <v>319</v>
      </c>
      <c r="J10" s="73" t="s">
        <v>320</v>
      </c>
      <c r="K10" s="73" t="s">
        <v>322</v>
      </c>
      <c r="M10" s="120" t="s">
        <v>245</v>
      </c>
      <c r="N10" s="120" t="s">
        <v>246</v>
      </c>
      <c r="O10" s="120" t="s">
        <v>247</v>
      </c>
      <c r="P10" s="120" t="s">
        <v>248</v>
      </c>
    </row>
    <row r="11" spans="2:31" x14ac:dyDescent="0.25">
      <c r="B11" s="76" t="s">
        <v>262</v>
      </c>
      <c r="C11" s="77" t="s">
        <v>263</v>
      </c>
      <c r="D11" s="18" t="s">
        <v>493</v>
      </c>
      <c r="F11" s="74" t="s">
        <v>21</v>
      </c>
      <c r="G11" s="75" t="s">
        <v>25</v>
      </c>
      <c r="H11" s="75" t="s">
        <v>25</v>
      </c>
      <c r="I11" s="75" t="s">
        <v>25</v>
      </c>
      <c r="J11" s="75" t="s">
        <v>25</v>
      </c>
      <c r="K11" s="75" t="s">
        <v>25</v>
      </c>
      <c r="M11" s="119">
        <v>688900</v>
      </c>
      <c r="N11" s="119">
        <v>688650</v>
      </c>
      <c r="O11" s="119">
        <v>688750</v>
      </c>
      <c r="P11" s="119">
        <v>688850</v>
      </c>
    </row>
    <row r="12" spans="2:31" x14ac:dyDescent="0.25">
      <c r="B12" s="76" t="s">
        <v>264</v>
      </c>
      <c r="C12" s="77" t="s">
        <v>265</v>
      </c>
      <c r="D12" s="18" t="s">
        <v>493</v>
      </c>
      <c r="F12" s="80" t="s">
        <v>249</v>
      </c>
      <c r="G12" s="75" t="s">
        <v>250</v>
      </c>
      <c r="H12" s="75" t="s">
        <v>280</v>
      </c>
      <c r="I12" s="75" t="s">
        <v>290</v>
      </c>
      <c r="J12" s="75" t="s">
        <v>307</v>
      </c>
      <c r="K12" s="75" t="s">
        <v>25</v>
      </c>
    </row>
    <row r="13" spans="2:31" x14ac:dyDescent="0.25">
      <c r="B13" s="76" t="s">
        <v>266</v>
      </c>
      <c r="C13" s="77" t="s">
        <v>267</v>
      </c>
      <c r="D13" s="18" t="s">
        <v>245</v>
      </c>
      <c r="F13" s="80" t="s">
        <v>251</v>
      </c>
      <c r="G13" s="75" t="s">
        <v>252</v>
      </c>
      <c r="H13" s="75" t="s">
        <v>25</v>
      </c>
      <c r="I13" s="75" t="s">
        <v>25</v>
      </c>
      <c r="J13" s="75" t="s">
        <v>25</v>
      </c>
      <c r="K13" s="75" t="s">
        <v>323</v>
      </c>
    </row>
    <row r="14" spans="2:31" x14ac:dyDescent="0.25">
      <c r="B14" s="76" t="s">
        <v>268</v>
      </c>
      <c r="C14" s="77" t="s">
        <v>481</v>
      </c>
      <c r="D14" s="18" t="s">
        <v>248</v>
      </c>
      <c r="F14" s="80" t="s">
        <v>253</v>
      </c>
      <c r="G14" s="75" t="s">
        <v>254</v>
      </c>
      <c r="H14" s="75" t="s">
        <v>25</v>
      </c>
      <c r="I14" s="75" t="s">
        <v>25</v>
      </c>
      <c r="J14" s="75" t="s">
        <v>308</v>
      </c>
      <c r="K14" s="75" t="s">
        <v>25</v>
      </c>
    </row>
    <row r="15" spans="2:31" x14ac:dyDescent="0.25">
      <c r="B15" s="76" t="s">
        <v>270</v>
      </c>
      <c r="C15" s="77" t="s">
        <v>271</v>
      </c>
      <c r="D15" s="18" t="s">
        <v>245</v>
      </c>
      <c r="F15" s="80" t="s">
        <v>255</v>
      </c>
      <c r="G15" s="75" t="s">
        <v>256</v>
      </c>
      <c r="H15" s="75" t="s">
        <v>25</v>
      </c>
      <c r="I15" s="75" t="s">
        <v>25</v>
      </c>
      <c r="J15" s="75" t="s">
        <v>309</v>
      </c>
      <c r="K15" s="75" t="s">
        <v>25</v>
      </c>
    </row>
    <row r="16" spans="2:31" x14ac:dyDescent="0.25">
      <c r="B16" s="76" t="s">
        <v>272</v>
      </c>
      <c r="C16" s="77" t="s">
        <v>273</v>
      </c>
      <c r="D16" s="18" t="s">
        <v>245</v>
      </c>
      <c r="F16" s="80" t="s">
        <v>257</v>
      </c>
      <c r="G16" s="75" t="s">
        <v>258</v>
      </c>
      <c r="H16" s="75" t="s">
        <v>281</v>
      </c>
      <c r="I16" s="75" t="s">
        <v>291</v>
      </c>
      <c r="J16" s="75" t="s">
        <v>310</v>
      </c>
      <c r="K16" s="75" t="s">
        <v>25</v>
      </c>
    </row>
    <row r="17" spans="2:11" x14ac:dyDescent="0.25">
      <c r="B17" s="76">
        <v>1553</v>
      </c>
      <c r="C17" s="77" t="s">
        <v>274</v>
      </c>
      <c r="D17" s="18" t="s">
        <v>245</v>
      </c>
      <c r="F17" s="80" t="s">
        <v>259</v>
      </c>
      <c r="G17" s="75" t="s">
        <v>260</v>
      </c>
      <c r="H17" s="75" t="s">
        <v>25</v>
      </c>
      <c r="I17" s="75" t="s">
        <v>292</v>
      </c>
      <c r="J17" s="75" t="s">
        <v>25</v>
      </c>
      <c r="K17" s="75" t="s">
        <v>25</v>
      </c>
    </row>
    <row r="18" spans="2:11" x14ac:dyDescent="0.25">
      <c r="B18" s="76" t="s">
        <v>275</v>
      </c>
      <c r="C18" s="77" t="s">
        <v>276</v>
      </c>
      <c r="D18" s="18" t="s">
        <v>494</v>
      </c>
      <c r="F18" s="80" t="s">
        <v>26</v>
      </c>
      <c r="G18" s="75" t="s">
        <v>261</v>
      </c>
      <c r="H18" s="75" t="s">
        <v>282</v>
      </c>
      <c r="I18" s="75" t="s">
        <v>293</v>
      </c>
      <c r="J18" s="75" t="s">
        <v>261</v>
      </c>
      <c r="K18" s="75" t="s">
        <v>324</v>
      </c>
    </row>
    <row r="19" spans="2:11" x14ac:dyDescent="0.25">
      <c r="B19" s="76" t="s">
        <v>249</v>
      </c>
      <c r="C19" s="77" t="s">
        <v>280</v>
      </c>
      <c r="D19" s="18" t="s">
        <v>246</v>
      </c>
      <c r="F19" s="80" t="s">
        <v>262</v>
      </c>
      <c r="G19" s="75" t="s">
        <v>263</v>
      </c>
      <c r="H19" s="75" t="s">
        <v>283</v>
      </c>
      <c r="I19" s="75" t="s">
        <v>294</v>
      </c>
      <c r="J19" s="75" t="s">
        <v>263</v>
      </c>
      <c r="K19" s="75" t="s">
        <v>324</v>
      </c>
    </row>
    <row r="20" spans="2:11" x14ac:dyDescent="0.25">
      <c r="B20" s="76" t="s">
        <v>257</v>
      </c>
      <c r="C20" s="77" t="s">
        <v>281</v>
      </c>
      <c r="D20" s="18" t="s">
        <v>246</v>
      </c>
      <c r="F20" s="80" t="s">
        <v>264</v>
      </c>
      <c r="G20" s="75" t="s">
        <v>265</v>
      </c>
      <c r="H20" s="75" t="s">
        <v>284</v>
      </c>
      <c r="I20" s="75" t="s">
        <v>295</v>
      </c>
      <c r="J20" s="75" t="s">
        <v>265</v>
      </c>
      <c r="K20" s="75" t="s">
        <v>324</v>
      </c>
    </row>
    <row r="21" spans="2:11" x14ac:dyDescent="0.25">
      <c r="B21" s="76" t="s">
        <v>26</v>
      </c>
      <c r="C21" s="77" t="s">
        <v>282</v>
      </c>
      <c r="D21" s="18" t="s">
        <v>246</v>
      </c>
      <c r="F21" s="80" t="s">
        <v>266</v>
      </c>
      <c r="G21" s="75" t="s">
        <v>267</v>
      </c>
      <c r="H21" s="75" t="s">
        <v>25</v>
      </c>
      <c r="I21" s="75" t="s">
        <v>25</v>
      </c>
      <c r="J21" s="75" t="s">
        <v>311</v>
      </c>
      <c r="K21" s="75" t="s">
        <v>325</v>
      </c>
    </row>
    <row r="22" spans="2:11" x14ac:dyDescent="0.25">
      <c r="B22" s="76" t="s">
        <v>262</v>
      </c>
      <c r="C22" s="77" t="s">
        <v>283</v>
      </c>
      <c r="D22" s="18" t="s">
        <v>246</v>
      </c>
      <c r="F22" s="80" t="s">
        <v>268</v>
      </c>
      <c r="G22" s="75" t="s">
        <v>269</v>
      </c>
      <c r="H22" s="75" t="s">
        <v>285</v>
      </c>
      <c r="I22" s="75" t="s">
        <v>296</v>
      </c>
      <c r="J22" s="75" t="s">
        <v>269</v>
      </c>
      <c r="K22" s="75" t="s">
        <v>326</v>
      </c>
    </row>
    <row r="23" spans="2:11" x14ac:dyDescent="0.25">
      <c r="B23" s="76" t="s">
        <v>264</v>
      </c>
      <c r="C23" s="77" t="s">
        <v>284</v>
      </c>
      <c r="D23" s="18" t="s">
        <v>246</v>
      </c>
      <c r="F23" s="80" t="s">
        <v>270</v>
      </c>
      <c r="G23" s="75" t="s">
        <v>271</v>
      </c>
      <c r="H23" s="75" t="s">
        <v>25</v>
      </c>
      <c r="I23" s="75" t="s">
        <v>25</v>
      </c>
      <c r="J23" s="75" t="s">
        <v>312</v>
      </c>
      <c r="K23" s="75" t="s">
        <v>327</v>
      </c>
    </row>
    <row r="24" spans="2:11" x14ac:dyDescent="0.25">
      <c r="B24" s="76" t="s">
        <v>268</v>
      </c>
      <c r="C24" s="77" t="s">
        <v>483</v>
      </c>
      <c r="D24" s="18" t="s">
        <v>246</v>
      </c>
      <c r="F24" s="80" t="s">
        <v>272</v>
      </c>
      <c r="G24" s="75" t="s">
        <v>273</v>
      </c>
      <c r="H24" s="75" t="s">
        <v>25</v>
      </c>
      <c r="I24" s="75" t="s">
        <v>25</v>
      </c>
      <c r="J24" s="75" t="s">
        <v>25</v>
      </c>
      <c r="K24" s="75" t="s">
        <v>328</v>
      </c>
    </row>
    <row r="25" spans="2:11" x14ac:dyDescent="0.25">
      <c r="B25" s="76">
        <v>1553</v>
      </c>
      <c r="C25" s="77" t="s">
        <v>488</v>
      </c>
      <c r="D25" s="18" t="s">
        <v>246</v>
      </c>
      <c r="F25" s="80" t="s">
        <v>479</v>
      </c>
      <c r="G25" s="75" t="s">
        <v>274</v>
      </c>
      <c r="H25" s="75" t="s">
        <v>286</v>
      </c>
      <c r="I25" s="75" t="s">
        <v>297</v>
      </c>
      <c r="J25" s="75" t="s">
        <v>25</v>
      </c>
      <c r="K25" s="75" t="s">
        <v>329</v>
      </c>
    </row>
    <row r="26" spans="2:11" x14ac:dyDescent="0.25">
      <c r="B26" s="76" t="s">
        <v>277</v>
      </c>
      <c r="C26" s="77" t="s">
        <v>287</v>
      </c>
      <c r="D26" s="18" t="s">
        <v>246</v>
      </c>
      <c r="F26" s="80" t="s">
        <v>275</v>
      </c>
      <c r="G26" s="75" t="s">
        <v>276</v>
      </c>
      <c r="H26" s="75" t="s">
        <v>276</v>
      </c>
      <c r="I26" s="75" t="s">
        <v>25</v>
      </c>
      <c r="J26" s="75" t="s">
        <v>276</v>
      </c>
      <c r="K26" s="75" t="s">
        <v>25</v>
      </c>
    </row>
    <row r="27" spans="2:11" x14ac:dyDescent="0.25">
      <c r="B27" s="76" t="s">
        <v>278</v>
      </c>
      <c r="C27" s="77" t="s">
        <v>288</v>
      </c>
      <c r="D27" s="18" t="s">
        <v>246</v>
      </c>
      <c r="F27" s="80" t="s">
        <v>277</v>
      </c>
      <c r="G27" s="75" t="s">
        <v>25</v>
      </c>
      <c r="H27" s="75" t="s">
        <v>287</v>
      </c>
      <c r="I27" s="75" t="s">
        <v>25</v>
      </c>
      <c r="J27" s="75" t="s">
        <v>25</v>
      </c>
      <c r="K27" s="75" t="s">
        <v>25</v>
      </c>
    </row>
    <row r="28" spans="2:11" x14ac:dyDescent="0.25">
      <c r="B28" s="76" t="s">
        <v>279</v>
      </c>
      <c r="C28" s="77" t="s">
        <v>492</v>
      </c>
      <c r="D28" s="18" t="s">
        <v>246</v>
      </c>
      <c r="F28" s="80" t="s">
        <v>278</v>
      </c>
      <c r="G28" s="75" t="s">
        <v>25</v>
      </c>
      <c r="H28" s="75" t="s">
        <v>288</v>
      </c>
      <c r="I28" s="75" t="s">
        <v>25</v>
      </c>
      <c r="J28" s="75" t="s">
        <v>25</v>
      </c>
      <c r="K28" s="75" t="s">
        <v>330</v>
      </c>
    </row>
    <row r="29" spans="2:11" x14ac:dyDescent="0.25">
      <c r="B29" s="76" t="s">
        <v>249</v>
      </c>
      <c r="C29" s="77" t="s">
        <v>290</v>
      </c>
      <c r="D29" s="18" t="s">
        <v>247</v>
      </c>
      <c r="F29" s="80" t="s">
        <v>279</v>
      </c>
      <c r="G29" s="75" t="s">
        <v>25</v>
      </c>
      <c r="H29" s="75" t="s">
        <v>289</v>
      </c>
      <c r="I29" s="75" t="s">
        <v>25</v>
      </c>
      <c r="J29" s="75" t="s">
        <v>25</v>
      </c>
      <c r="K29" s="75" t="s">
        <v>331</v>
      </c>
    </row>
    <row r="30" spans="2:11" x14ac:dyDescent="0.25">
      <c r="B30" s="76" t="s">
        <v>257</v>
      </c>
      <c r="C30" s="77" t="s">
        <v>291</v>
      </c>
      <c r="D30" s="18" t="s">
        <v>247</v>
      </c>
      <c r="F30" s="80" t="s">
        <v>298</v>
      </c>
      <c r="G30" s="75" t="s">
        <v>25</v>
      </c>
      <c r="H30" s="75" t="s">
        <v>25</v>
      </c>
      <c r="I30" s="75" t="s">
        <v>299</v>
      </c>
      <c r="J30" s="75" t="s">
        <v>25</v>
      </c>
      <c r="K30" s="75" t="s">
        <v>25</v>
      </c>
    </row>
    <row r="31" spans="2:11" x14ac:dyDescent="0.25">
      <c r="B31" s="76" t="s">
        <v>259</v>
      </c>
      <c r="C31" s="77" t="s">
        <v>292</v>
      </c>
      <c r="D31" s="18" t="s">
        <v>247</v>
      </c>
      <c r="F31" s="80" t="s">
        <v>300</v>
      </c>
      <c r="G31" s="75" t="s">
        <v>25</v>
      </c>
      <c r="H31" s="75" t="s">
        <v>25</v>
      </c>
      <c r="I31" s="75" t="s">
        <v>301</v>
      </c>
      <c r="J31" s="75" t="s">
        <v>25</v>
      </c>
      <c r="K31" s="75" t="s">
        <v>25</v>
      </c>
    </row>
    <row r="32" spans="2:11" x14ac:dyDescent="0.25">
      <c r="B32" s="76" t="s">
        <v>26</v>
      </c>
      <c r="C32" s="77" t="s">
        <v>293</v>
      </c>
      <c r="D32" s="18" t="s">
        <v>247</v>
      </c>
      <c r="F32" s="80" t="s">
        <v>302</v>
      </c>
      <c r="G32" s="75" t="s">
        <v>25</v>
      </c>
      <c r="H32" s="75" t="s">
        <v>25</v>
      </c>
      <c r="I32" s="75" t="s">
        <v>303</v>
      </c>
      <c r="J32" s="75" t="s">
        <v>25</v>
      </c>
      <c r="K32" s="75" t="s">
        <v>332</v>
      </c>
    </row>
    <row r="33" spans="2:11" x14ac:dyDescent="0.25">
      <c r="B33" s="76" t="s">
        <v>262</v>
      </c>
      <c r="C33" s="77" t="s">
        <v>294</v>
      </c>
      <c r="D33" s="18" t="s">
        <v>247</v>
      </c>
      <c r="F33" s="80" t="s">
        <v>304</v>
      </c>
      <c r="G33" s="75" t="s">
        <v>25</v>
      </c>
      <c r="H33" s="75" t="s">
        <v>25</v>
      </c>
      <c r="I33" s="75" t="s">
        <v>305</v>
      </c>
      <c r="J33" s="75" t="s">
        <v>25</v>
      </c>
      <c r="K33" s="75" t="s">
        <v>333</v>
      </c>
    </row>
    <row r="34" spans="2:11" x14ac:dyDescent="0.25">
      <c r="B34" s="76" t="s">
        <v>264</v>
      </c>
      <c r="C34" s="77" t="s">
        <v>295</v>
      </c>
      <c r="D34" s="18" t="s">
        <v>247</v>
      </c>
      <c r="F34" s="80" t="s">
        <v>321</v>
      </c>
      <c r="G34" s="75" t="s">
        <v>25</v>
      </c>
      <c r="H34" s="75" t="s">
        <v>25</v>
      </c>
      <c r="I34" s="75" t="s">
        <v>306</v>
      </c>
      <c r="J34" s="75" t="s">
        <v>25</v>
      </c>
      <c r="K34" s="75" t="s">
        <v>333</v>
      </c>
    </row>
    <row r="35" spans="2:11" x14ac:dyDescent="0.25">
      <c r="B35" s="76" t="s">
        <v>268</v>
      </c>
      <c r="C35" s="77" t="s">
        <v>482</v>
      </c>
      <c r="D35" s="18" t="s">
        <v>247</v>
      </c>
      <c r="F35" s="80" t="s">
        <v>313</v>
      </c>
      <c r="G35" s="75" t="s">
        <v>25</v>
      </c>
      <c r="H35" s="75" t="s">
        <v>25</v>
      </c>
      <c r="I35" s="75" t="s">
        <v>25</v>
      </c>
      <c r="J35" s="75" t="s">
        <v>314</v>
      </c>
      <c r="K35" s="75" t="s">
        <v>25</v>
      </c>
    </row>
    <row r="36" spans="2:11" x14ac:dyDescent="0.25">
      <c r="B36" s="76">
        <v>1553</v>
      </c>
      <c r="C36" s="77" t="s">
        <v>489</v>
      </c>
      <c r="D36" s="18" t="s">
        <v>247</v>
      </c>
      <c r="F36" s="80" t="s">
        <v>315</v>
      </c>
      <c r="G36" s="75" t="s">
        <v>25</v>
      </c>
      <c r="H36" s="75" t="s">
        <v>25</v>
      </c>
      <c r="I36" s="75" t="s">
        <v>25</v>
      </c>
      <c r="J36" s="75" t="s">
        <v>316</v>
      </c>
      <c r="K36" s="75" t="s">
        <v>329</v>
      </c>
    </row>
    <row r="37" spans="2:11" x14ac:dyDescent="0.25">
      <c r="B37" s="76" t="s">
        <v>298</v>
      </c>
      <c r="C37" s="77" t="s">
        <v>299</v>
      </c>
      <c r="D37" s="18" t="s">
        <v>247</v>
      </c>
      <c r="F37" s="121" t="s">
        <v>245</v>
      </c>
      <c r="G37" s="122"/>
      <c r="H37" s="122"/>
      <c r="I37" s="122"/>
      <c r="J37" s="122"/>
      <c r="K37" s="122"/>
    </row>
    <row r="38" spans="2:11" x14ac:dyDescent="0.25">
      <c r="B38" s="76" t="s">
        <v>300</v>
      </c>
      <c r="C38" s="77" t="s">
        <v>301</v>
      </c>
      <c r="D38" s="18" t="s">
        <v>247</v>
      </c>
      <c r="F38" s="121" t="s">
        <v>246</v>
      </c>
      <c r="G38" s="122"/>
      <c r="H38" s="122"/>
      <c r="I38" s="122"/>
      <c r="J38" s="122"/>
      <c r="K38" s="122"/>
    </row>
    <row r="39" spans="2:11" x14ac:dyDescent="0.25">
      <c r="B39" s="76" t="s">
        <v>302</v>
      </c>
      <c r="C39" s="77" t="s">
        <v>490</v>
      </c>
      <c r="D39" s="18" t="s">
        <v>247</v>
      </c>
      <c r="F39" s="121" t="s">
        <v>247</v>
      </c>
      <c r="G39" s="122"/>
      <c r="H39" s="122"/>
      <c r="I39" s="122"/>
      <c r="J39" s="122"/>
      <c r="K39" s="122"/>
    </row>
    <row r="40" spans="2:11" x14ac:dyDescent="0.25">
      <c r="B40" s="76" t="s">
        <v>304</v>
      </c>
      <c r="C40" s="77" t="s">
        <v>305</v>
      </c>
      <c r="D40" s="18" t="s">
        <v>247</v>
      </c>
      <c r="F40" s="121" t="s">
        <v>248</v>
      </c>
      <c r="G40" s="122"/>
      <c r="H40" s="122"/>
      <c r="I40" s="122"/>
      <c r="J40" s="122"/>
      <c r="K40" s="122"/>
    </row>
    <row r="41" spans="2:11" x14ac:dyDescent="0.25">
      <c r="B41" s="76" t="s">
        <v>304</v>
      </c>
      <c r="C41" s="77" t="s">
        <v>306</v>
      </c>
      <c r="D41" s="18" t="s">
        <v>247</v>
      </c>
    </row>
    <row r="42" spans="2:11" x14ac:dyDescent="0.25">
      <c r="B42" s="76" t="s">
        <v>249</v>
      </c>
      <c r="C42" s="78" t="s">
        <v>307</v>
      </c>
      <c r="D42" s="18" t="s">
        <v>248</v>
      </c>
    </row>
    <row r="43" spans="2:11" x14ac:dyDescent="0.25">
      <c r="B43" s="76" t="s">
        <v>253</v>
      </c>
      <c r="C43" s="77" t="s">
        <v>308</v>
      </c>
      <c r="D43" s="18" t="s">
        <v>248</v>
      </c>
    </row>
    <row r="44" spans="2:11" x14ac:dyDescent="0.25">
      <c r="B44" s="76" t="s">
        <v>255</v>
      </c>
      <c r="C44" s="77" t="s">
        <v>309</v>
      </c>
      <c r="D44" s="18" t="s">
        <v>248</v>
      </c>
    </row>
    <row r="45" spans="2:11" x14ac:dyDescent="0.25">
      <c r="B45" s="76" t="s">
        <v>257</v>
      </c>
      <c r="C45" s="77" t="s">
        <v>310</v>
      </c>
      <c r="D45" s="18" t="s">
        <v>248</v>
      </c>
    </row>
    <row r="46" spans="2:11" x14ac:dyDescent="0.25">
      <c r="B46" s="76" t="s">
        <v>266</v>
      </c>
      <c r="C46" s="77" t="s">
        <v>311</v>
      </c>
      <c r="D46" s="18" t="s">
        <v>248</v>
      </c>
    </row>
    <row r="47" spans="2:11" x14ac:dyDescent="0.25">
      <c r="B47" s="76" t="s">
        <v>270</v>
      </c>
      <c r="C47" s="77" t="s">
        <v>486</v>
      </c>
      <c r="D47" s="18" t="s">
        <v>248</v>
      </c>
    </row>
    <row r="48" spans="2:11" x14ac:dyDescent="0.25">
      <c r="B48" s="76" t="s">
        <v>313</v>
      </c>
      <c r="C48" s="77" t="s">
        <v>314</v>
      </c>
      <c r="D48" s="18" t="s">
        <v>248</v>
      </c>
    </row>
    <row r="49" spans="2:4" x14ac:dyDescent="0.25">
      <c r="B49" s="79" t="s">
        <v>315</v>
      </c>
      <c r="C49" s="77" t="s">
        <v>491</v>
      </c>
      <c r="D49" s="18" t="s">
        <v>248</v>
      </c>
    </row>
    <row r="50" spans="2:4" x14ac:dyDescent="0.25">
      <c r="B50" s="79" t="s">
        <v>315</v>
      </c>
      <c r="C50" s="77" t="s">
        <v>491</v>
      </c>
      <c r="D50" s="18" t="s">
        <v>248</v>
      </c>
    </row>
    <row r="51" spans="2:4" x14ac:dyDescent="0.25">
      <c r="B51" s="123"/>
      <c r="C51" s="124">
        <v>688900</v>
      </c>
      <c r="D51" s="18" t="s">
        <v>245</v>
      </c>
    </row>
    <row r="52" spans="2:4" x14ac:dyDescent="0.25">
      <c r="B52" s="123"/>
      <c r="C52" s="124">
        <v>688650</v>
      </c>
      <c r="D52" s="18" t="s">
        <v>246</v>
      </c>
    </row>
    <row r="53" spans="2:4" x14ac:dyDescent="0.25">
      <c r="B53" s="123"/>
      <c r="C53" s="124">
        <v>688750</v>
      </c>
      <c r="D53" s="18" t="s">
        <v>247</v>
      </c>
    </row>
    <row r="54" spans="2:4" x14ac:dyDescent="0.25">
      <c r="B54" s="123"/>
      <c r="C54" s="124">
        <v>688850</v>
      </c>
      <c r="D54" s="18" t="s">
        <v>248</v>
      </c>
    </row>
    <row r="55" spans="2:4" x14ac:dyDescent="0.25">
      <c r="B55" s="76" t="s">
        <v>268</v>
      </c>
      <c r="C55" s="77" t="s">
        <v>484</v>
      </c>
      <c r="D55" s="18" t="s">
        <v>245</v>
      </c>
    </row>
  </sheetData>
  <conditionalFormatting sqref="C46 C33 C20 C4">
    <cfRule type="duplicateValues" dxfId="105" priority="83"/>
  </conditionalFormatting>
  <conditionalFormatting sqref="C47 C6">
    <cfRule type="duplicateValues" dxfId="104" priority="82"/>
  </conditionalFormatting>
  <conditionalFormatting sqref="C48 C7">
    <cfRule type="duplicateValues" dxfId="103" priority="81"/>
  </conditionalFormatting>
  <conditionalFormatting sqref="C49 C34 C21 C8">
    <cfRule type="duplicateValues" dxfId="102" priority="80"/>
  </conditionalFormatting>
  <conditionalFormatting sqref="C36 C22 C10 C50:C51">
    <cfRule type="duplicateValues" dxfId="101" priority="79"/>
  </conditionalFormatting>
  <conditionalFormatting sqref="C37 C23 C11">
    <cfRule type="duplicateValues" dxfId="100" priority="78"/>
  </conditionalFormatting>
  <conditionalFormatting sqref="C38 C24 C12">
    <cfRule type="duplicateValues" dxfId="99" priority="77"/>
  </conditionalFormatting>
  <conditionalFormatting sqref="C13">
    <cfRule type="duplicateValues" dxfId="98" priority="76"/>
  </conditionalFormatting>
  <conditionalFormatting sqref="C39 C25 C14">
    <cfRule type="duplicateValues" dxfId="97" priority="75"/>
  </conditionalFormatting>
  <conditionalFormatting sqref="C15">
    <cfRule type="duplicateValues" dxfId="96" priority="74"/>
  </conditionalFormatting>
  <conditionalFormatting sqref="C27 C18">
    <cfRule type="duplicateValues" dxfId="95" priority="73"/>
  </conditionalFormatting>
  <conditionalFormatting sqref="C35 C9">
    <cfRule type="duplicateValues" dxfId="94" priority="84"/>
  </conditionalFormatting>
  <conditionalFormatting sqref="C40 C26 C17">
    <cfRule type="duplicateValues" dxfId="93" priority="85"/>
  </conditionalFormatting>
  <conditionalFormatting sqref="C28">
    <cfRule type="duplicateValues" dxfId="92" priority="86"/>
  </conditionalFormatting>
  <conditionalFormatting sqref="C29">
    <cfRule type="duplicateValues" dxfId="91" priority="87"/>
  </conditionalFormatting>
  <conditionalFormatting sqref="C30">
    <cfRule type="duplicateValues" dxfId="90" priority="88"/>
  </conditionalFormatting>
  <conditionalFormatting sqref="C16">
    <cfRule type="duplicateValues" dxfId="89" priority="89"/>
  </conditionalFormatting>
  <conditionalFormatting sqref="C5">
    <cfRule type="duplicateValues" dxfId="88" priority="90"/>
  </conditionalFormatting>
  <conditionalFormatting sqref="C44 C31">
    <cfRule type="duplicateValues" dxfId="87" priority="33"/>
  </conditionalFormatting>
  <conditionalFormatting sqref="C45">
    <cfRule type="duplicateValues" dxfId="86" priority="32"/>
  </conditionalFormatting>
  <conditionalFormatting sqref="C46">
    <cfRule type="duplicateValues" dxfId="85" priority="31"/>
  </conditionalFormatting>
  <conditionalFormatting sqref="C47 C32">
    <cfRule type="duplicateValues" dxfId="84" priority="30"/>
  </conditionalFormatting>
  <conditionalFormatting sqref="C48 C34">
    <cfRule type="duplicateValues" dxfId="83" priority="29"/>
  </conditionalFormatting>
  <conditionalFormatting sqref="C49 C35">
    <cfRule type="duplicateValues" dxfId="82" priority="28"/>
  </conditionalFormatting>
  <conditionalFormatting sqref="C36 C50:C51">
    <cfRule type="duplicateValues" dxfId="81" priority="27"/>
  </conditionalFormatting>
  <conditionalFormatting sqref="C37">
    <cfRule type="duplicateValues" dxfId="80" priority="26"/>
  </conditionalFormatting>
  <conditionalFormatting sqref="C33">
    <cfRule type="duplicateValues" dxfId="79" priority="34"/>
  </conditionalFormatting>
  <conditionalFormatting sqref="C38">
    <cfRule type="duplicateValues" dxfId="78" priority="35"/>
  </conditionalFormatting>
  <conditionalFormatting sqref="C45 C32 C19">
    <cfRule type="duplicateValues" dxfId="77" priority="20"/>
  </conditionalFormatting>
  <conditionalFormatting sqref="C46">
    <cfRule type="duplicateValues" dxfId="76" priority="19"/>
  </conditionalFormatting>
  <conditionalFormatting sqref="C47">
    <cfRule type="duplicateValues" dxfId="75" priority="18"/>
  </conditionalFormatting>
  <conditionalFormatting sqref="C48 C33 C20">
    <cfRule type="duplicateValues" dxfId="74" priority="17"/>
  </conditionalFormatting>
  <conditionalFormatting sqref="C49 C35 C21">
    <cfRule type="duplicateValues" dxfId="73" priority="16"/>
  </conditionalFormatting>
  <conditionalFormatting sqref="C36 C22">
    <cfRule type="duplicateValues" dxfId="72" priority="15"/>
  </conditionalFormatting>
  <conditionalFormatting sqref="C37 C23">
    <cfRule type="duplicateValues" dxfId="71" priority="14"/>
  </conditionalFormatting>
  <conditionalFormatting sqref="C38 C24">
    <cfRule type="duplicateValues" dxfId="70" priority="13"/>
  </conditionalFormatting>
  <conditionalFormatting sqref="C26">
    <cfRule type="duplicateValues" dxfId="69" priority="12"/>
  </conditionalFormatting>
  <conditionalFormatting sqref="C34">
    <cfRule type="duplicateValues" dxfId="68" priority="21"/>
  </conditionalFormatting>
  <conditionalFormatting sqref="C39 C25">
    <cfRule type="duplicateValues" dxfId="67" priority="22"/>
  </conditionalFormatting>
  <conditionalFormatting sqref="C27">
    <cfRule type="duplicateValues" dxfId="66" priority="23"/>
  </conditionalFormatting>
  <conditionalFormatting sqref="C28">
    <cfRule type="duplicateValues" dxfId="65" priority="24"/>
  </conditionalFormatting>
  <conditionalFormatting sqref="C29">
    <cfRule type="duplicateValues" dxfId="64" priority="25"/>
  </conditionalFormatting>
  <conditionalFormatting sqref="C43 C30">
    <cfRule type="duplicateValues" dxfId="63" priority="9"/>
  </conditionalFormatting>
  <conditionalFormatting sqref="C44">
    <cfRule type="duplicateValues" dxfId="62" priority="8"/>
  </conditionalFormatting>
  <conditionalFormatting sqref="C45">
    <cfRule type="duplicateValues" dxfId="61" priority="7"/>
  </conditionalFormatting>
  <conditionalFormatting sqref="C46 C31">
    <cfRule type="duplicateValues" dxfId="60" priority="6"/>
  </conditionalFormatting>
  <conditionalFormatting sqref="C47 C33">
    <cfRule type="duplicateValues" dxfId="59" priority="5"/>
  </conditionalFormatting>
  <conditionalFormatting sqref="C48 C34">
    <cfRule type="duplicateValues" dxfId="58" priority="4"/>
  </conditionalFormatting>
  <conditionalFormatting sqref="C49 C35">
    <cfRule type="duplicateValues" dxfId="57" priority="3"/>
  </conditionalFormatting>
  <conditionalFormatting sqref="C36">
    <cfRule type="duplicateValues" dxfId="56" priority="2"/>
  </conditionalFormatting>
  <conditionalFormatting sqref="C32">
    <cfRule type="duplicateValues" dxfId="55" priority="10"/>
  </conditionalFormatting>
  <conditionalFormatting sqref="C37">
    <cfRule type="duplicateValues" dxfId="54" priority="11"/>
  </conditionalFormatting>
  <conditionalFormatting sqref="C55">
    <cfRule type="duplicateValues" dxfId="53" priority="1"/>
  </conditionalFormatting>
  <dataValidations count="1">
    <dataValidation type="list" allowBlank="1" showInputMessage="1" showErrorMessage="1" sqref="F3 F10">
      <formula1>ProgramList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41"/>
  <sheetViews>
    <sheetView workbookViewId="0">
      <selection activeCell="N4" sqref="N4"/>
    </sheetView>
  </sheetViews>
  <sheetFormatPr defaultRowHeight="15" x14ac:dyDescent="0.25"/>
  <cols>
    <col min="2" max="2" width="21.5703125" style="30" customWidth="1"/>
    <col min="3" max="3" width="3.140625" style="11" bestFit="1" customWidth="1"/>
    <col min="4" max="4" width="2.7109375" style="11" bestFit="1" customWidth="1"/>
    <col min="5" max="8" width="7.85546875" style="11" customWidth="1"/>
    <col min="9" max="9" width="34.7109375" bestFit="1" customWidth="1"/>
    <col min="10" max="10" width="5.85546875" customWidth="1"/>
    <col min="11" max="11" width="7.7109375" bestFit="1" customWidth="1"/>
    <col min="13" max="13" width="16" customWidth="1"/>
    <col min="14" max="14" width="114" style="36" bestFit="1" customWidth="1"/>
    <col min="15" max="15" width="25.42578125" customWidth="1"/>
    <col min="16" max="16" width="36.7109375" bestFit="1" customWidth="1"/>
    <col min="18" max="18" width="35.7109375" bestFit="1" customWidth="1"/>
  </cols>
  <sheetData>
    <row r="1" spans="2:20" x14ac:dyDescent="0.25">
      <c r="M1" s="88" t="s">
        <v>243</v>
      </c>
      <c r="N1" s="87"/>
    </row>
    <row r="2" spans="2:20" x14ac:dyDescent="0.25">
      <c r="B2" s="30" t="s">
        <v>46</v>
      </c>
      <c r="C2" s="11" t="s">
        <v>125</v>
      </c>
      <c r="D2" s="11" t="s">
        <v>126</v>
      </c>
      <c r="E2" s="11" t="s">
        <v>0</v>
      </c>
      <c r="F2" s="11" t="s">
        <v>1</v>
      </c>
      <c r="G2" s="11" t="s">
        <v>113</v>
      </c>
      <c r="H2" s="11" t="s">
        <v>120</v>
      </c>
      <c r="I2" t="s">
        <v>47</v>
      </c>
      <c r="M2" s="82" t="s">
        <v>128</v>
      </c>
      <c r="N2" s="19" t="str">
        <f>CONCATENATE(I4,"; ",I10,"; ",I24,"; ",I25)</f>
        <v>Chris.Katsetos@L-3Com.com; David.Swain@l-3com.com; Michael.Bahan@l-3com.com; Timothy.Blankenship@l-3com.com</v>
      </c>
    </row>
    <row r="3" spans="2:20" ht="90" x14ac:dyDescent="0.25">
      <c r="C3" s="32"/>
      <c r="D3" s="32" t="s">
        <v>121</v>
      </c>
      <c r="E3" s="32" t="s">
        <v>121</v>
      </c>
      <c r="F3" s="32" t="s">
        <v>121</v>
      </c>
      <c r="G3" s="32" t="s">
        <v>121</v>
      </c>
      <c r="H3" s="32" t="s">
        <v>121</v>
      </c>
      <c r="I3" s="20"/>
      <c r="M3" s="82" t="s">
        <v>127</v>
      </c>
      <c r="N3" s="83" t="str">
        <f>CONCATENATE(I5,"; ",I6,"; ",I7,"; ",I8,"; ",I9,"; ",I11,"; ",I12,"; ",I13,"; ",I14,"; ",I16,"; ",I17,"; ",I18,"; ",I19,"; ",I20,"; ",I21,"; ",Contact_Table[[#This Row],[Email]],"; ",I23,"; Carlos.Barrera@L-3com.com",";",I30,";",I31,";",I10)</f>
        <v>Dennis.Denoff@l-3com.com; Denise.Dudley-Davis@L-3com.com; Christopher.Evans2@L-3com.com; Wayne.Foltz@L-3Com.com; Ronald.Goins@l-3com.com; Bob.Shreve@l-3com.com; Nick.Kramer@L-3com.com; John.Kriner@l-3com.com; Tonda.McLemore@l-3com.com; Frederick.kuhlmann@l-3com.com; david.seamount@ulalaunch.com; Gary.Shepherd2@l-3com.com; Edwin.Sizemore@L-3com.com; Kevin.St.Clair@l-3com.com; Jacob.Swadener@l-3com.com; ; Carl.McIntosh@l-3com.com; Carlos.Barrera@L-3com.com;Charles.Crisler@l-3com.com;Anthony.Schwallie@l-3com.com;David.Swain@l-3com.com</v>
      </c>
    </row>
    <row r="4" spans="2:20" ht="30" x14ac:dyDescent="0.25">
      <c r="B4" s="30" t="s">
        <v>417</v>
      </c>
      <c r="C4" s="32" t="s">
        <v>121</v>
      </c>
      <c r="D4" s="32"/>
      <c r="E4" s="32" t="s">
        <v>121</v>
      </c>
      <c r="F4" s="32" t="s">
        <v>121</v>
      </c>
      <c r="G4" s="32" t="s">
        <v>121</v>
      </c>
      <c r="H4" s="32" t="s">
        <v>121</v>
      </c>
      <c r="I4" s="20" t="s">
        <v>89</v>
      </c>
      <c r="M4" s="82" t="s">
        <v>0</v>
      </c>
      <c r="N4" s="83" t="str">
        <f>CONCATENATE(I26,"; ",I27,";",I15,";",I36,";",I39)</f>
        <v>steve.entrekin@ulalaunch.com; colin.m.miller@ulalaunch.com;michael.m.mills@ulalaunch.com;Edward.Riess@l-3com.com;Edward.Murphy@l-3com.com</v>
      </c>
    </row>
    <row r="5" spans="2:20" ht="30" x14ac:dyDescent="0.25">
      <c r="B5" s="30" t="s">
        <v>99</v>
      </c>
      <c r="C5" s="32"/>
      <c r="D5" s="32" t="s">
        <v>121</v>
      </c>
      <c r="E5" s="32" t="s">
        <v>121</v>
      </c>
      <c r="F5" s="32" t="s">
        <v>121</v>
      </c>
      <c r="G5" s="32" t="s">
        <v>121</v>
      </c>
      <c r="H5" s="32" t="s">
        <v>121</v>
      </c>
      <c r="I5" s="20" t="s">
        <v>84</v>
      </c>
      <c r="L5" s="18"/>
      <c r="M5" s="82" t="s">
        <v>1</v>
      </c>
      <c r="N5" s="83" t="str">
        <f>CONCATENATE(I15,"; ",I33,"; ",I29,";",I34,";",I38)</f>
        <v>michael.m.mills@ulalaunch.com; John.Fende@l-3com.com; Peter.D.vanderHoop@ulalaunch.com;James.Thacker@l-3com.com;Andrew.Bak@l-3com.com</v>
      </c>
      <c r="O5" s="18"/>
      <c r="P5" s="18"/>
      <c r="Q5" s="18"/>
      <c r="R5" s="18"/>
      <c r="S5" s="18"/>
      <c r="T5" s="18"/>
    </row>
    <row r="6" spans="2:20" x14ac:dyDescent="0.25">
      <c r="B6" s="30" t="s">
        <v>100</v>
      </c>
      <c r="C6" s="32"/>
      <c r="D6" s="32" t="s">
        <v>121</v>
      </c>
      <c r="E6" s="32" t="s">
        <v>121</v>
      </c>
      <c r="F6" s="32" t="s">
        <v>121</v>
      </c>
      <c r="G6" s="32" t="s">
        <v>121</v>
      </c>
      <c r="H6" s="32" t="s">
        <v>121</v>
      </c>
      <c r="I6" s="20" t="s">
        <v>85</v>
      </c>
      <c r="L6" s="18"/>
      <c r="M6" s="82" t="s">
        <v>113</v>
      </c>
      <c r="N6" s="83" t="str">
        <f>CONCATENATE(I15,";",I35,";",I37,";",I40)</f>
        <v>michael.m.mills@ulalaunch.com;Scott.Burns@l-3com.com;Michael.Rist@l-3com.com;Steven.Wolf@l-3com.com</v>
      </c>
      <c r="O6" s="18"/>
      <c r="P6" s="18"/>
      <c r="Q6" s="18"/>
      <c r="R6" s="18"/>
      <c r="S6" s="18"/>
      <c r="T6" s="18"/>
    </row>
    <row r="7" spans="2:20" ht="30" x14ac:dyDescent="0.25">
      <c r="B7" s="30" t="s">
        <v>101</v>
      </c>
      <c r="C7" s="32"/>
      <c r="D7" s="32" t="s">
        <v>121</v>
      </c>
      <c r="E7" s="32" t="s">
        <v>121</v>
      </c>
      <c r="F7" s="32" t="s">
        <v>121</v>
      </c>
      <c r="G7" s="32" t="s">
        <v>121</v>
      </c>
      <c r="H7" s="32" t="s">
        <v>121</v>
      </c>
      <c r="I7" s="20" t="s">
        <v>86</v>
      </c>
      <c r="L7" s="18"/>
      <c r="M7" s="82" t="s">
        <v>120</v>
      </c>
      <c r="N7" s="83" t="str">
        <f>CONCATENATE(I15,"; ",I28,";",I40,";",I37,";",I35)</f>
        <v>michael.m.mills@ulalaunch.com; brian.j.koerner@ulalaunch.com;Steven.Wolf@l-3com.com;Michael.Rist@l-3com.com;Scott.Burns@l-3com.com</v>
      </c>
      <c r="O7" s="18"/>
      <c r="P7" s="18"/>
      <c r="Q7" s="18"/>
      <c r="R7" s="18"/>
      <c r="S7" s="18"/>
      <c r="T7" s="18"/>
    </row>
    <row r="8" spans="2:20" x14ac:dyDescent="0.25">
      <c r="B8" s="30" t="s">
        <v>102</v>
      </c>
      <c r="C8" s="32"/>
      <c r="D8" s="32" t="s">
        <v>121</v>
      </c>
      <c r="E8" s="32" t="s">
        <v>121</v>
      </c>
      <c r="F8" s="32" t="s">
        <v>121</v>
      </c>
      <c r="G8" s="32" t="s">
        <v>121</v>
      </c>
      <c r="H8" s="32" t="s">
        <v>121</v>
      </c>
      <c r="I8" s="20" t="s">
        <v>87</v>
      </c>
      <c r="L8" s="18"/>
      <c r="M8" s="82" t="s">
        <v>356</v>
      </c>
      <c r="N8" s="131" t="s">
        <v>472</v>
      </c>
      <c r="O8" s="18"/>
      <c r="P8" s="18"/>
      <c r="Q8" s="18"/>
      <c r="R8" s="18"/>
      <c r="S8" s="18"/>
      <c r="T8" s="18"/>
    </row>
    <row r="9" spans="2:20" x14ac:dyDescent="0.25">
      <c r="B9" s="30" t="s">
        <v>103</v>
      </c>
      <c r="C9" s="32"/>
      <c r="D9" s="32" t="s">
        <v>121</v>
      </c>
      <c r="E9" s="32" t="s">
        <v>121</v>
      </c>
      <c r="F9" s="32" t="s">
        <v>121</v>
      </c>
      <c r="G9" s="32" t="s">
        <v>121</v>
      </c>
      <c r="H9" s="32" t="s">
        <v>121</v>
      </c>
      <c r="I9" s="20" t="s">
        <v>88</v>
      </c>
      <c r="L9" s="18"/>
      <c r="M9" s="86" t="s">
        <v>244</v>
      </c>
      <c r="N9" s="127"/>
      <c r="O9" s="18"/>
      <c r="P9" s="18"/>
      <c r="Q9" s="18"/>
      <c r="R9" s="18"/>
      <c r="S9" s="18"/>
      <c r="T9" s="18"/>
    </row>
    <row r="10" spans="2:20" x14ac:dyDescent="0.25">
      <c r="B10" s="30" t="s">
        <v>426</v>
      </c>
      <c r="C10" s="32" t="s">
        <v>121</v>
      </c>
      <c r="D10" s="32"/>
      <c r="E10" s="32" t="s">
        <v>121</v>
      </c>
      <c r="F10" s="32" t="s">
        <v>121</v>
      </c>
      <c r="G10" s="32" t="s">
        <v>121</v>
      </c>
      <c r="H10" s="32" t="s">
        <v>121</v>
      </c>
      <c r="I10" s="20" t="s">
        <v>427</v>
      </c>
      <c r="L10" s="18"/>
      <c r="M10" s="82" t="s">
        <v>128</v>
      </c>
      <c r="N10" s="83" t="s">
        <v>341</v>
      </c>
      <c r="O10" s="18"/>
      <c r="P10" s="18"/>
      <c r="Q10" s="18"/>
      <c r="R10" s="18"/>
      <c r="S10" s="18"/>
      <c r="T10" s="18"/>
    </row>
    <row r="11" spans="2:20" ht="30" x14ac:dyDescent="0.25">
      <c r="B11" s="30" t="s">
        <v>193</v>
      </c>
      <c r="C11" s="32"/>
      <c r="D11" s="32" t="s">
        <v>121</v>
      </c>
      <c r="E11" s="32" t="s">
        <v>121</v>
      </c>
      <c r="F11" s="32" t="s">
        <v>121</v>
      </c>
      <c r="G11" s="32" t="s">
        <v>121</v>
      </c>
      <c r="H11" s="32" t="s">
        <v>121</v>
      </c>
      <c r="I11" s="20" t="s">
        <v>418</v>
      </c>
      <c r="L11" s="18"/>
      <c r="M11" s="82" t="s">
        <v>127</v>
      </c>
      <c r="N11" s="83" t="s">
        <v>468</v>
      </c>
      <c r="O11" s="18"/>
      <c r="P11" s="18"/>
      <c r="Q11" s="18"/>
      <c r="R11" s="18"/>
      <c r="S11" s="18"/>
      <c r="T11" s="18"/>
    </row>
    <row r="12" spans="2:20" x14ac:dyDescent="0.25">
      <c r="B12" s="30" t="s">
        <v>104</v>
      </c>
      <c r="C12" s="32"/>
      <c r="D12" s="32" t="s">
        <v>121</v>
      </c>
      <c r="E12" s="32" t="s">
        <v>121</v>
      </c>
      <c r="F12" s="32" t="s">
        <v>121</v>
      </c>
      <c r="G12" s="32" t="s">
        <v>121</v>
      </c>
      <c r="H12" s="32" t="s">
        <v>121</v>
      </c>
      <c r="I12" s="20" t="s">
        <v>90</v>
      </c>
      <c r="L12" s="18"/>
      <c r="M12" s="82" t="s">
        <v>244</v>
      </c>
      <c r="N12" s="128"/>
      <c r="O12" s="18"/>
      <c r="P12" s="18"/>
      <c r="Q12" s="18"/>
      <c r="R12" s="18"/>
      <c r="S12" s="18"/>
      <c r="T12" s="18"/>
    </row>
    <row r="13" spans="2:20" x14ac:dyDescent="0.25">
      <c r="B13" s="30" t="s">
        <v>105</v>
      </c>
      <c r="C13" s="32"/>
      <c r="D13" s="32" t="s">
        <v>121</v>
      </c>
      <c r="E13" s="32" t="s">
        <v>121</v>
      </c>
      <c r="F13" s="32" t="s">
        <v>121</v>
      </c>
      <c r="G13" s="32" t="s">
        <v>121</v>
      </c>
      <c r="H13" s="32" t="s">
        <v>121</v>
      </c>
      <c r="I13" s="20" t="s">
        <v>91</v>
      </c>
      <c r="L13" s="18"/>
      <c r="M13" s="82" t="s">
        <v>356</v>
      </c>
      <c r="N13" s="83" t="s">
        <v>357</v>
      </c>
      <c r="O13" s="18"/>
      <c r="P13" s="18"/>
      <c r="Q13" s="18"/>
      <c r="R13" s="18"/>
      <c r="S13" s="18"/>
      <c r="T13" s="18"/>
    </row>
    <row r="14" spans="2:20" x14ac:dyDescent="0.25">
      <c r="B14" s="30" t="s">
        <v>106</v>
      </c>
      <c r="C14" s="32"/>
      <c r="D14" s="32" t="s">
        <v>121</v>
      </c>
      <c r="E14" s="32" t="s">
        <v>121</v>
      </c>
      <c r="F14" s="32" t="s">
        <v>121</v>
      </c>
      <c r="G14" s="32" t="s">
        <v>121</v>
      </c>
      <c r="H14" s="32" t="s">
        <v>121</v>
      </c>
      <c r="I14" s="20" t="s">
        <v>92</v>
      </c>
      <c r="L14" s="18"/>
      <c r="M14" s="18"/>
      <c r="N14" s="37"/>
      <c r="O14" s="18"/>
      <c r="P14" s="18"/>
      <c r="Q14" s="18"/>
      <c r="R14" s="18"/>
      <c r="S14" s="18"/>
      <c r="T14" s="18"/>
    </row>
    <row r="15" spans="2:20" x14ac:dyDescent="0.25">
      <c r="B15" s="30" t="s">
        <v>171</v>
      </c>
      <c r="C15" s="32"/>
      <c r="D15" s="32" t="s">
        <v>121</v>
      </c>
      <c r="E15" s="34" t="s">
        <v>121</v>
      </c>
      <c r="F15" s="32" t="s">
        <v>121</v>
      </c>
      <c r="G15" s="32" t="s">
        <v>121</v>
      </c>
      <c r="H15" s="32" t="s">
        <v>121</v>
      </c>
      <c r="I15" s="20" t="s">
        <v>49</v>
      </c>
      <c r="L15" s="18"/>
      <c r="M15" s="129" t="s">
        <v>466</v>
      </c>
      <c r="N15" s="37" t="str">
        <f>CONCATENATE(I12,"; ",I8,"; ",I20,"; ",I18,";",I13,";",I9,";",I21,)</f>
        <v>Nick.Kramer@L-3com.com; Wayne.Foltz@L-3Com.com; Kevin.St.Clair@l-3com.com; Gary.Shepherd2@l-3com.com;John.Kriner@l-3com.com;Ronald.Goins@l-3com.com;Jacob.Swadener@l-3com.com</v>
      </c>
      <c r="O15" s="18"/>
      <c r="P15" s="18"/>
      <c r="Q15" s="18"/>
      <c r="R15" s="18"/>
      <c r="S15" s="18"/>
      <c r="T15" s="18"/>
    </row>
    <row r="16" spans="2:20" x14ac:dyDescent="0.25">
      <c r="B16" s="30" t="s">
        <v>416</v>
      </c>
      <c r="C16" s="32"/>
      <c r="D16" s="32" t="s">
        <v>121</v>
      </c>
      <c r="E16" s="32" t="s">
        <v>121</v>
      </c>
      <c r="F16" s="32" t="s">
        <v>121</v>
      </c>
      <c r="G16" s="32" t="s">
        <v>121</v>
      </c>
      <c r="H16" s="32" t="s">
        <v>121</v>
      </c>
      <c r="I16" s="20" t="s">
        <v>419</v>
      </c>
      <c r="L16" s="18"/>
      <c r="M16" s="18"/>
      <c r="N16" s="37"/>
      <c r="O16" s="18"/>
      <c r="P16" s="18"/>
      <c r="Q16" s="18"/>
      <c r="R16" s="18"/>
      <c r="S16" s="18"/>
      <c r="T16" s="18"/>
    </row>
    <row r="17" spans="2:20" x14ac:dyDescent="0.25">
      <c r="B17" s="30" t="s">
        <v>170</v>
      </c>
      <c r="C17" s="32"/>
      <c r="D17" s="32" t="s">
        <v>121</v>
      </c>
      <c r="E17" s="32" t="s">
        <v>121</v>
      </c>
      <c r="F17" s="32" t="s">
        <v>121</v>
      </c>
      <c r="G17" s="32" t="s">
        <v>121</v>
      </c>
      <c r="H17" s="32" t="s">
        <v>121</v>
      </c>
      <c r="I17" s="20" t="s">
        <v>93</v>
      </c>
      <c r="L17" s="18"/>
      <c r="M17" s="129" t="s">
        <v>477</v>
      </c>
      <c r="N17" s="132" t="s">
        <v>478</v>
      </c>
      <c r="O17" s="18"/>
      <c r="P17" s="18"/>
      <c r="Q17" s="18"/>
      <c r="R17" s="18"/>
      <c r="S17" s="18"/>
      <c r="T17" s="18"/>
    </row>
    <row r="18" spans="2:20" x14ac:dyDescent="0.25">
      <c r="B18" s="30" t="s">
        <v>107</v>
      </c>
      <c r="C18" s="32"/>
      <c r="D18" s="32" t="s">
        <v>121</v>
      </c>
      <c r="E18" s="32" t="s">
        <v>121</v>
      </c>
      <c r="F18" s="32" t="s">
        <v>121</v>
      </c>
      <c r="G18" s="32" t="s">
        <v>121</v>
      </c>
      <c r="H18" s="32" t="s">
        <v>121</v>
      </c>
      <c r="I18" s="20" t="s">
        <v>94</v>
      </c>
      <c r="L18" s="18"/>
      <c r="M18" s="18"/>
      <c r="N18" s="37"/>
      <c r="O18" s="18"/>
      <c r="P18" s="18"/>
      <c r="Q18" s="18"/>
      <c r="R18" s="18"/>
      <c r="S18" s="18"/>
      <c r="T18" s="18"/>
    </row>
    <row r="19" spans="2:20" x14ac:dyDescent="0.25">
      <c r="B19" s="30" t="s">
        <v>108</v>
      </c>
      <c r="C19" s="32"/>
      <c r="D19" s="32" t="s">
        <v>121</v>
      </c>
      <c r="E19" s="32" t="s">
        <v>121</v>
      </c>
      <c r="F19" s="32" t="s">
        <v>121</v>
      </c>
      <c r="G19" s="32" t="s">
        <v>121</v>
      </c>
      <c r="H19" s="32" t="s">
        <v>121</v>
      </c>
      <c r="I19" s="20" t="s">
        <v>95</v>
      </c>
      <c r="L19" s="18"/>
      <c r="M19" s="18"/>
      <c r="N19" s="37"/>
      <c r="O19" s="18"/>
      <c r="P19" s="18"/>
      <c r="Q19" s="18"/>
      <c r="R19" s="18"/>
      <c r="S19" s="18"/>
      <c r="T19" s="18"/>
    </row>
    <row r="20" spans="2:20" x14ac:dyDescent="0.25">
      <c r="B20" s="30" t="s">
        <v>109</v>
      </c>
      <c r="C20" s="32"/>
      <c r="D20" s="32" t="s">
        <v>121</v>
      </c>
      <c r="E20" s="32" t="s">
        <v>121</v>
      </c>
      <c r="F20" s="32" t="s">
        <v>121</v>
      </c>
      <c r="G20" s="32" t="s">
        <v>121</v>
      </c>
      <c r="H20" s="32" t="s">
        <v>121</v>
      </c>
      <c r="I20" s="20" t="s">
        <v>96</v>
      </c>
      <c r="L20" s="18"/>
      <c r="M20" s="18"/>
      <c r="N20" s="37"/>
      <c r="O20" s="18"/>
      <c r="P20" s="18"/>
      <c r="Q20" s="18"/>
      <c r="R20" s="18"/>
      <c r="S20" s="18"/>
      <c r="T20" s="18"/>
    </row>
    <row r="21" spans="2:20" x14ac:dyDescent="0.25">
      <c r="B21" s="30" t="s">
        <v>110</v>
      </c>
      <c r="C21" s="32"/>
      <c r="D21" s="32" t="s">
        <v>121</v>
      </c>
      <c r="E21" s="32" t="s">
        <v>121</v>
      </c>
      <c r="F21" s="32" t="s">
        <v>121</v>
      </c>
      <c r="G21" s="32" t="s">
        <v>121</v>
      </c>
      <c r="H21" s="32" t="s">
        <v>121</v>
      </c>
      <c r="I21" s="20" t="s">
        <v>97</v>
      </c>
      <c r="L21" s="18"/>
      <c r="O21" s="18"/>
      <c r="P21" s="18"/>
      <c r="Q21" s="18"/>
      <c r="R21" s="18"/>
      <c r="S21" s="18"/>
      <c r="T21" s="18"/>
    </row>
    <row r="22" spans="2:20" x14ac:dyDescent="0.25">
      <c r="B22" s="30" t="s">
        <v>111</v>
      </c>
      <c r="C22" s="32"/>
      <c r="D22" s="32" t="s">
        <v>121</v>
      </c>
      <c r="E22" s="32" t="s">
        <v>121</v>
      </c>
      <c r="F22" s="32" t="s">
        <v>121</v>
      </c>
      <c r="G22" s="32" t="s">
        <v>121</v>
      </c>
      <c r="H22" s="32" t="s">
        <v>121</v>
      </c>
      <c r="I22" s="20" t="s">
        <v>98</v>
      </c>
      <c r="L22" s="18"/>
      <c r="O22" s="18"/>
      <c r="P22" s="18"/>
      <c r="Q22" s="18"/>
      <c r="R22" s="18"/>
      <c r="S22" s="18"/>
      <c r="T22" s="18"/>
    </row>
    <row r="23" spans="2:20" x14ac:dyDescent="0.25">
      <c r="B23" s="30" t="s">
        <v>422</v>
      </c>
      <c r="C23" s="32"/>
      <c r="D23" s="33" t="s">
        <v>121</v>
      </c>
      <c r="E23" s="32" t="s">
        <v>121</v>
      </c>
      <c r="F23" s="32" t="s">
        <v>121</v>
      </c>
      <c r="G23" s="32" t="s">
        <v>121</v>
      </c>
      <c r="H23" s="32" t="s">
        <v>121</v>
      </c>
      <c r="I23" s="21" t="s">
        <v>423</v>
      </c>
      <c r="L23" s="18"/>
      <c r="O23" s="18"/>
      <c r="P23" s="18"/>
      <c r="Q23" s="18"/>
      <c r="R23" s="18"/>
      <c r="S23" s="18"/>
      <c r="T23" s="18"/>
    </row>
    <row r="24" spans="2:20" x14ac:dyDescent="0.25">
      <c r="B24" s="31" t="s">
        <v>172</v>
      </c>
      <c r="C24" s="32" t="s">
        <v>121</v>
      </c>
      <c r="D24" s="32"/>
      <c r="E24" s="32" t="s">
        <v>121</v>
      </c>
      <c r="F24" s="32" t="s">
        <v>121</v>
      </c>
      <c r="G24" s="32" t="s">
        <v>121</v>
      </c>
      <c r="H24" s="32" t="s">
        <v>121</v>
      </c>
      <c r="I24" s="20" t="s">
        <v>118</v>
      </c>
      <c r="L24" s="18"/>
      <c r="O24" s="18"/>
      <c r="P24" s="18"/>
      <c r="Q24" s="18"/>
      <c r="R24" s="18"/>
      <c r="S24" s="18"/>
      <c r="T24" s="18"/>
    </row>
    <row r="25" spans="2:20" x14ac:dyDescent="0.25">
      <c r="B25" s="31" t="s">
        <v>115</v>
      </c>
      <c r="C25" s="32" t="s">
        <v>121</v>
      </c>
      <c r="D25" s="32"/>
      <c r="E25" s="32" t="s">
        <v>121</v>
      </c>
      <c r="F25" s="32" t="s">
        <v>121</v>
      </c>
      <c r="G25" s="32" t="s">
        <v>121</v>
      </c>
      <c r="H25" s="32" t="s">
        <v>121</v>
      </c>
      <c r="I25" s="20" t="s">
        <v>119</v>
      </c>
      <c r="L25" s="18"/>
      <c r="O25" s="18"/>
      <c r="P25" s="18"/>
      <c r="Q25" s="18"/>
      <c r="R25" s="18"/>
      <c r="S25" s="18"/>
      <c r="T25" s="18"/>
    </row>
    <row r="26" spans="2:20" x14ac:dyDescent="0.25">
      <c r="B26" s="31" t="s">
        <v>116</v>
      </c>
      <c r="C26" s="32"/>
      <c r="D26" s="32" t="s">
        <v>121</v>
      </c>
      <c r="E26" s="32" t="s">
        <v>121</v>
      </c>
      <c r="F26" s="34"/>
      <c r="G26" s="34"/>
      <c r="H26" s="34"/>
      <c r="I26" s="20" t="s">
        <v>51</v>
      </c>
      <c r="L26" s="18"/>
      <c r="O26" s="18"/>
      <c r="P26" s="18"/>
      <c r="Q26" s="18"/>
      <c r="R26" s="18"/>
      <c r="S26" s="18"/>
      <c r="T26" s="18"/>
    </row>
    <row r="27" spans="2:20" x14ac:dyDescent="0.25">
      <c r="B27" s="31" t="s">
        <v>117</v>
      </c>
      <c r="C27" s="32"/>
      <c r="D27" s="33" t="s">
        <v>121</v>
      </c>
      <c r="E27" s="33" t="s">
        <v>121</v>
      </c>
      <c r="F27" s="34"/>
      <c r="G27" s="35"/>
      <c r="H27" s="35"/>
      <c r="I27" s="21" t="s">
        <v>48</v>
      </c>
      <c r="L27" s="18"/>
      <c r="M27" s="18"/>
      <c r="N27" s="37"/>
      <c r="O27" s="18"/>
      <c r="P27" s="18"/>
      <c r="Q27" s="18"/>
      <c r="R27" s="18"/>
      <c r="S27" s="18"/>
      <c r="T27" s="18"/>
    </row>
    <row r="28" spans="2:20" x14ac:dyDescent="0.25">
      <c r="B28" s="30" t="s">
        <v>122</v>
      </c>
      <c r="C28" s="32"/>
      <c r="D28" s="32" t="s">
        <v>121</v>
      </c>
      <c r="E28" s="34"/>
      <c r="F28" s="32" t="s">
        <v>121</v>
      </c>
      <c r="G28" s="34"/>
      <c r="H28" s="32" t="s">
        <v>121</v>
      </c>
      <c r="I28" s="20" t="s">
        <v>124</v>
      </c>
      <c r="L28" s="18"/>
      <c r="M28" s="18"/>
      <c r="N28" s="37"/>
      <c r="O28" s="18"/>
      <c r="P28" s="18"/>
      <c r="Q28" s="18"/>
      <c r="R28" s="18"/>
      <c r="S28" s="18"/>
      <c r="T28" s="18"/>
    </row>
    <row r="29" spans="2:20" x14ac:dyDescent="0.25">
      <c r="B29" s="30" t="s">
        <v>123</v>
      </c>
      <c r="C29" s="33"/>
      <c r="D29" s="33" t="s">
        <v>121</v>
      </c>
      <c r="E29" s="35"/>
      <c r="F29" s="33" t="s">
        <v>121</v>
      </c>
      <c r="G29" s="35"/>
      <c r="H29" s="35"/>
      <c r="I29" s="21" t="s">
        <v>50</v>
      </c>
      <c r="L29" s="18"/>
      <c r="M29" s="18"/>
      <c r="N29" s="37"/>
      <c r="O29" s="18"/>
      <c r="P29" s="18"/>
      <c r="Q29" s="18"/>
      <c r="R29" s="18"/>
      <c r="S29" s="18"/>
      <c r="T29" s="18"/>
    </row>
    <row r="30" spans="2:20" x14ac:dyDescent="0.25">
      <c r="B30" s="115" t="s">
        <v>420</v>
      </c>
      <c r="C30" s="116"/>
      <c r="D30" s="32"/>
      <c r="E30" s="32"/>
      <c r="F30" s="32"/>
      <c r="G30" s="32"/>
      <c r="H30" s="32"/>
      <c r="I30" s="20" t="s">
        <v>421</v>
      </c>
      <c r="L30" s="18"/>
      <c r="M30" s="18"/>
      <c r="O30" s="18"/>
      <c r="P30" s="18"/>
      <c r="Q30" s="18"/>
      <c r="R30" s="18"/>
      <c r="S30" s="18"/>
      <c r="T30" s="18"/>
    </row>
    <row r="31" spans="2:20" x14ac:dyDescent="0.25">
      <c r="B31" s="115" t="s">
        <v>424</v>
      </c>
      <c r="C31" s="116"/>
      <c r="D31" s="32"/>
      <c r="E31" s="32"/>
      <c r="F31" s="32"/>
      <c r="G31" s="32"/>
      <c r="H31" s="32"/>
      <c r="I31" s="20" t="s">
        <v>425</v>
      </c>
      <c r="L31" s="18"/>
      <c r="M31" s="18"/>
      <c r="O31" s="18"/>
      <c r="P31" s="18"/>
      <c r="Q31" s="18"/>
      <c r="R31" s="18"/>
      <c r="S31" s="18"/>
      <c r="T31" s="18"/>
    </row>
    <row r="32" spans="2:20" x14ac:dyDescent="0.25">
      <c r="B32" s="115" t="s">
        <v>446</v>
      </c>
      <c r="C32" s="116"/>
      <c r="D32" s="32"/>
      <c r="E32" s="32"/>
      <c r="F32" s="32"/>
      <c r="G32" s="32"/>
      <c r="H32" s="32"/>
      <c r="I32" s="20" t="s">
        <v>447</v>
      </c>
      <c r="L32" s="18"/>
      <c r="M32" s="18"/>
      <c r="O32" s="18"/>
      <c r="P32" s="18"/>
      <c r="Q32" s="18"/>
      <c r="R32" s="18"/>
      <c r="S32" s="18"/>
      <c r="T32" s="18"/>
    </row>
    <row r="33" spans="2:20" x14ac:dyDescent="0.25">
      <c r="B33" s="115" t="s">
        <v>450</v>
      </c>
      <c r="C33" s="116"/>
      <c r="D33" s="32"/>
      <c r="E33" s="32"/>
      <c r="F33" s="32"/>
      <c r="G33" s="32"/>
      <c r="H33" s="32"/>
      <c r="I33" s="20" t="s">
        <v>451</v>
      </c>
      <c r="L33" s="18"/>
      <c r="M33" s="18"/>
      <c r="O33" s="18"/>
      <c r="P33" s="18"/>
      <c r="Q33" s="18"/>
      <c r="R33" s="18"/>
      <c r="S33" s="18"/>
      <c r="T33" s="18"/>
    </row>
    <row r="34" spans="2:20" x14ac:dyDescent="0.25">
      <c r="B34" s="115" t="s">
        <v>452</v>
      </c>
      <c r="C34" s="116"/>
      <c r="D34" s="32"/>
      <c r="E34" s="32"/>
      <c r="F34" s="32"/>
      <c r="G34" s="32"/>
      <c r="H34" s="32"/>
      <c r="I34" s="20" t="s">
        <v>453</v>
      </c>
      <c r="L34" s="18"/>
      <c r="M34" s="18"/>
      <c r="O34" s="18"/>
      <c r="P34" s="18"/>
      <c r="Q34" s="18"/>
      <c r="R34" s="18"/>
      <c r="S34" s="18"/>
      <c r="T34" s="18"/>
    </row>
    <row r="35" spans="2:20" x14ac:dyDescent="0.25">
      <c r="B35" s="115" t="s">
        <v>454</v>
      </c>
      <c r="C35" s="116"/>
      <c r="D35" s="32"/>
      <c r="E35" s="32"/>
      <c r="F35" s="32"/>
      <c r="G35" s="32"/>
      <c r="H35" s="32"/>
      <c r="I35" s="20" t="s">
        <v>455</v>
      </c>
      <c r="L35" s="18"/>
      <c r="M35" s="18"/>
      <c r="O35" s="18"/>
      <c r="P35" s="18"/>
      <c r="Q35" s="18"/>
      <c r="R35" s="18"/>
      <c r="S35" s="18"/>
      <c r="T35" s="18"/>
    </row>
    <row r="36" spans="2:20" x14ac:dyDescent="0.25">
      <c r="B36" s="117" t="s">
        <v>173</v>
      </c>
      <c r="C36" s="118"/>
      <c r="D36" s="33"/>
      <c r="E36" s="33"/>
      <c r="F36" s="33"/>
      <c r="G36" s="33"/>
      <c r="H36" s="33"/>
      <c r="I36" s="21" t="s">
        <v>456</v>
      </c>
      <c r="L36" s="18"/>
      <c r="M36" s="18"/>
      <c r="O36" s="18"/>
      <c r="P36" s="18"/>
      <c r="Q36" s="18"/>
      <c r="R36" s="18"/>
      <c r="S36" s="18"/>
      <c r="T36" s="18"/>
    </row>
    <row r="37" spans="2:20" x14ac:dyDescent="0.25">
      <c r="B37" s="115" t="s">
        <v>195</v>
      </c>
      <c r="C37" s="116"/>
      <c r="D37" s="32"/>
      <c r="E37" s="32"/>
      <c r="F37" s="32"/>
      <c r="G37" s="32"/>
      <c r="H37" s="32"/>
      <c r="I37" s="20" t="s">
        <v>457</v>
      </c>
    </row>
    <row r="38" spans="2:20" x14ac:dyDescent="0.25">
      <c r="B38" s="115" t="s">
        <v>458</v>
      </c>
      <c r="C38" s="116"/>
      <c r="D38" s="32"/>
      <c r="E38" s="32"/>
      <c r="F38" s="32"/>
      <c r="G38" s="32"/>
      <c r="H38" s="32"/>
      <c r="I38" s="20" t="s">
        <v>459</v>
      </c>
    </row>
    <row r="39" spans="2:20" x14ac:dyDescent="0.25">
      <c r="B39" s="115" t="s">
        <v>460</v>
      </c>
      <c r="C39" s="116"/>
      <c r="D39" s="32"/>
      <c r="E39" s="32"/>
      <c r="F39" s="32"/>
      <c r="G39" s="32"/>
      <c r="H39" s="32"/>
      <c r="I39" s="20" t="s">
        <v>461</v>
      </c>
    </row>
    <row r="40" spans="2:20" x14ac:dyDescent="0.25">
      <c r="B40" s="126" t="s">
        <v>463</v>
      </c>
      <c r="C40" s="116"/>
      <c r="D40" s="32"/>
      <c r="E40" s="32"/>
      <c r="F40" s="32"/>
      <c r="G40" s="32"/>
      <c r="H40" s="32"/>
      <c r="I40" s="20" t="s">
        <v>462</v>
      </c>
    </row>
    <row r="41" spans="2:20" x14ac:dyDescent="0.25">
      <c r="B41" s="117"/>
      <c r="C41" s="118"/>
      <c r="D41" s="33"/>
      <c r="E41" s="33"/>
      <c r="F41" s="33"/>
      <c r="G41" s="33"/>
      <c r="H41" s="33"/>
      <c r="I41" s="21"/>
    </row>
  </sheetData>
  <conditionalFormatting sqref="B28">
    <cfRule type="duplicateValues" dxfId="11" priority="3"/>
  </conditionalFormatting>
  <conditionalFormatting sqref="B29">
    <cfRule type="duplicateValues" dxfId="10" priority="2"/>
  </conditionalFormatting>
  <hyperlinks>
    <hyperlink ref="N11" r:id="rId1" display="David.Swain@L-3com.com; "/>
    <hyperlink ref="N13" r:id="rId2"/>
    <hyperlink ref="N8" r:id="rId3"/>
    <hyperlink ref="I4" r:id="rId4"/>
    <hyperlink ref="I11" r:id="rId5"/>
    <hyperlink ref="I16" r:id="rId6"/>
    <hyperlink ref="I30" r:id="rId7"/>
    <hyperlink ref="I23" r:id="rId8"/>
    <hyperlink ref="I31" r:id="rId9"/>
    <hyperlink ref="I10" r:id="rId10"/>
    <hyperlink ref="I32" r:id="rId11"/>
    <hyperlink ref="I33" r:id="rId12"/>
    <hyperlink ref="I34" r:id="rId13"/>
    <hyperlink ref="I35" r:id="rId14"/>
    <hyperlink ref="I36" r:id="rId15"/>
    <hyperlink ref="I37" r:id="rId16"/>
    <hyperlink ref="I38" r:id="rId17"/>
    <hyperlink ref="I39" r:id="rId18"/>
    <hyperlink ref="B40" r:id="rId19" display="Steven.Wolf@l-3com.com"/>
    <hyperlink ref="N17" r:id="rId20"/>
  </hyperlinks>
  <pageMargins left="0.7" right="0.7" top="0.75" bottom="0.75" header="0.3" footer="0.3"/>
  <tableParts count="1"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69</vt:i4>
      </vt:variant>
    </vt:vector>
  </HeadingPairs>
  <TitlesOfParts>
    <vt:vector size="77" baseType="lpstr">
      <vt:lpstr>Anomaly Report</vt:lpstr>
      <vt:lpstr>Anomaly Owner</vt:lpstr>
      <vt:lpstr>Sub-Assy Data Collection</vt:lpstr>
      <vt:lpstr>Network Paths and Names</vt:lpstr>
      <vt:lpstr>DatabaseExportTable</vt:lpstr>
      <vt:lpstr>Common Down Menus</vt:lpstr>
      <vt:lpstr>ATK Specific Menus</vt:lpstr>
      <vt:lpstr>Contact List</vt:lpstr>
      <vt:lpstr>_1553</vt:lpstr>
      <vt:lpstr>ACU</vt:lpstr>
      <vt:lpstr>'Anomaly Owner'!Anomaly_Owner</vt:lpstr>
      <vt:lpstr>'Sub-Assy Data Collection'!Anomaly_Owner</vt:lpstr>
      <vt:lpstr>Anomaly_Owner</vt:lpstr>
      <vt:lpstr>APIM</vt:lpstr>
      <vt:lpstr>ATK</vt:lpstr>
      <vt:lpstr>ATKTest_Rack</vt:lpstr>
      <vt:lpstr>BCPDU</vt:lpstr>
      <vt:lpstr>BPIM</vt:lpstr>
      <vt:lpstr>CCC</vt:lpstr>
      <vt:lpstr>'Anomaly Owner'!CCU</vt:lpstr>
      <vt:lpstr>'Sub-Assy Data Collection'!CCU</vt:lpstr>
      <vt:lpstr>CCU</vt:lpstr>
      <vt:lpstr>CFP</vt:lpstr>
      <vt:lpstr>CMF</vt:lpstr>
      <vt:lpstr>Controls</vt:lpstr>
      <vt:lpstr>ControlsTest_Rack</vt:lpstr>
      <vt:lpstr>CPIM</vt:lpstr>
      <vt:lpstr>CRP</vt:lpstr>
      <vt:lpstr>DAS</vt:lpstr>
      <vt:lpstr>'Anomaly Owner'!Direct_Cause</vt:lpstr>
      <vt:lpstr>Direct_Cause</vt:lpstr>
      <vt:lpstr>EOM</vt:lpstr>
      <vt:lpstr>'Anomaly Owner'!FSAB_A</vt:lpstr>
      <vt:lpstr>'Sub-Assy Data Collection'!FSAB_A</vt:lpstr>
      <vt:lpstr>FSAB_A</vt:lpstr>
      <vt:lpstr>'Anomaly Owner'!FSAB_D</vt:lpstr>
      <vt:lpstr>'Sub-Assy Data Collection'!FSAB_D</vt:lpstr>
      <vt:lpstr>FSAB_D</vt:lpstr>
      <vt:lpstr>HCM</vt:lpstr>
      <vt:lpstr>HCPS</vt:lpstr>
      <vt:lpstr>HKPS</vt:lpstr>
      <vt:lpstr>HKPSC</vt:lpstr>
      <vt:lpstr>HKPSP</vt:lpstr>
      <vt:lpstr>HPIM</vt:lpstr>
      <vt:lpstr>HPUC</vt:lpstr>
      <vt:lpstr>IFCM</vt:lpstr>
      <vt:lpstr>IFCM2</vt:lpstr>
      <vt:lpstr>IPIM</vt:lpstr>
      <vt:lpstr>IRIM</vt:lpstr>
      <vt:lpstr>ISC</vt:lpstr>
      <vt:lpstr>'Anomaly Owner'!OCU</vt:lpstr>
      <vt:lpstr>'Sub-Assy Data Collection'!OCU</vt:lpstr>
      <vt:lpstr>OCU</vt:lpstr>
      <vt:lpstr>PIMCTRL</vt:lpstr>
      <vt:lpstr>PIMHC</vt:lpstr>
      <vt:lpstr>'Anomaly Owner'!Please_Select</vt:lpstr>
      <vt:lpstr>'Sub-Assy Data Collection'!Please_Select</vt:lpstr>
      <vt:lpstr>Please_Select</vt:lpstr>
      <vt:lpstr>'Anomaly Owner'!Print_Area</vt:lpstr>
      <vt:lpstr>'Anomaly Report'!Print_Area</vt:lpstr>
      <vt:lpstr>'Sub-Assy Data Collection'!Print_Area</vt:lpstr>
      <vt:lpstr>Program_Names</vt:lpstr>
      <vt:lpstr>PSM</vt:lpstr>
      <vt:lpstr>SRM</vt:lpstr>
      <vt:lpstr>'Anomaly Owner'!Test_Description</vt:lpstr>
      <vt:lpstr>'Sub-Assy Data Collection'!Test_Description</vt:lpstr>
      <vt:lpstr>Test_Description</vt:lpstr>
      <vt:lpstr>'Anomaly Owner'!Test_Rack</vt:lpstr>
      <vt:lpstr>'Sub-Assy Data Collection'!Test_Rack</vt:lpstr>
      <vt:lpstr>Test_Rack</vt:lpstr>
      <vt:lpstr>'Anomaly Owner'!Test_Technician</vt:lpstr>
      <vt:lpstr>'Sub-Assy Data Collection'!Test_Technician</vt:lpstr>
      <vt:lpstr>Test_Technician</vt:lpstr>
      <vt:lpstr>TVC_DIM</vt:lpstr>
      <vt:lpstr>'Anomaly Owner'!Type_of_Issue</vt:lpstr>
      <vt:lpstr>'Sub-Assy Data Collection'!Type_of_Issue</vt:lpstr>
      <vt:lpstr>Type_of_Issue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mlang</dc:creator>
  <cp:lastModifiedBy>cbarrera</cp:lastModifiedBy>
  <cp:lastPrinted>2016-10-20T12:58:06Z</cp:lastPrinted>
  <dcterms:created xsi:type="dcterms:W3CDTF">2016-03-10T16:25:59Z</dcterms:created>
  <dcterms:modified xsi:type="dcterms:W3CDTF">2016-10-20T14:01:06Z</dcterms:modified>
</cp:coreProperties>
</file>